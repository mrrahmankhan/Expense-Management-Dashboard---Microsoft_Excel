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Rahman\Downloads\"/>
    </mc:Choice>
  </mc:AlternateContent>
  <bookViews>
    <workbookView xWindow="0" yWindow="0" windowWidth="23040" windowHeight="10704" activeTab="2"/>
  </bookViews>
  <sheets>
    <sheet name="Data" sheetId="1" r:id="rId1"/>
    <sheet name="Pivot" sheetId="2" r:id="rId2"/>
    <sheet name="Dashboard" sheetId="3" r:id="rId3"/>
  </sheets>
  <definedNames>
    <definedName name="_xlnm.Print_Area" localSheetId="2">Dashboard!$A$1:$P$25</definedName>
    <definedName name="Slicer_Approved">#N/A</definedName>
    <definedName name="Slicer_Category">#N/A</definedName>
    <definedName name="Slicer_Department">#N/A</definedName>
    <definedName name="Slicer_Month">#N/A</definedName>
    <definedName name="Slicer_Payment_Metho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0" i="2" l="1"/>
  <c r="K21" i="2" l="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<sst xmlns="http://schemas.openxmlformats.org/spreadsheetml/2006/main" count="377" uniqueCount="108">
  <si>
    <t>Expense ID</t>
  </si>
  <si>
    <t>Date</t>
  </si>
  <si>
    <t>Department</t>
  </si>
  <si>
    <t>Category</t>
  </si>
  <si>
    <t>Amount (INR)</t>
  </si>
  <si>
    <t>Payment Method</t>
  </si>
  <si>
    <t>Approved</t>
  </si>
  <si>
    <t>Budget Allocated</t>
  </si>
  <si>
    <t>Budget Remaining</t>
  </si>
  <si>
    <t>EXP1002</t>
  </si>
  <si>
    <t>Operations</t>
  </si>
  <si>
    <t>Training</t>
  </si>
  <si>
    <t>Bank Transfer</t>
  </si>
  <si>
    <t>Yes</t>
  </si>
  <si>
    <t>EXP1003</t>
  </si>
  <si>
    <t>Utilities</t>
  </si>
  <si>
    <t>Credit Card</t>
  </si>
  <si>
    <t>No</t>
  </si>
  <si>
    <t>EXP1004</t>
  </si>
  <si>
    <t>IT</t>
  </si>
  <si>
    <t>Software</t>
  </si>
  <si>
    <t>EXP1005</t>
  </si>
  <si>
    <t>Sales</t>
  </si>
  <si>
    <t>Cash</t>
  </si>
  <si>
    <t>EXP1006</t>
  </si>
  <si>
    <t>EXP1007</t>
  </si>
  <si>
    <t>HR</t>
  </si>
  <si>
    <t>Office Supplies</t>
  </si>
  <si>
    <t>EXP1008</t>
  </si>
  <si>
    <t>Finance</t>
  </si>
  <si>
    <t>Travel</t>
  </si>
  <si>
    <t>UPI</t>
  </si>
  <si>
    <t>EXP1009</t>
  </si>
  <si>
    <t>Equipment</t>
  </si>
  <si>
    <t>EXP1010</t>
  </si>
  <si>
    <t>EXP1011</t>
  </si>
  <si>
    <t>EXP1012</t>
  </si>
  <si>
    <t>EXP1013</t>
  </si>
  <si>
    <t>EXP1014</t>
  </si>
  <si>
    <t>EXP1015</t>
  </si>
  <si>
    <t>EXP1016</t>
  </si>
  <si>
    <t>EXP1017</t>
  </si>
  <si>
    <t>EXP1018</t>
  </si>
  <si>
    <t>EXP1019</t>
  </si>
  <si>
    <t>EXP1020</t>
  </si>
  <si>
    <t>EXP1021</t>
  </si>
  <si>
    <t>EXP1022</t>
  </si>
  <si>
    <t>EXP1023</t>
  </si>
  <si>
    <t>EXP1024</t>
  </si>
  <si>
    <t>EXP1025</t>
  </si>
  <si>
    <t>Marketing</t>
  </si>
  <si>
    <t>EXP1026</t>
  </si>
  <si>
    <t>EXP1027</t>
  </si>
  <si>
    <t>EXP1028</t>
  </si>
  <si>
    <t>EXP1029</t>
  </si>
  <si>
    <t>EXP1030</t>
  </si>
  <si>
    <t>EXP1031</t>
  </si>
  <si>
    <t>EXP1032</t>
  </si>
  <si>
    <t>EXP1033</t>
  </si>
  <si>
    <t>EXP1034</t>
  </si>
  <si>
    <t>EXP1035</t>
  </si>
  <si>
    <t>EXP1036</t>
  </si>
  <si>
    <t>EXP1037</t>
  </si>
  <si>
    <t>EXP1038</t>
  </si>
  <si>
    <t>EXP1039</t>
  </si>
  <si>
    <t>EXP1040</t>
  </si>
  <si>
    <t>EXP1041</t>
  </si>
  <si>
    <t>EXP1042</t>
  </si>
  <si>
    <t>EXP1043</t>
  </si>
  <si>
    <t>EXP1044</t>
  </si>
  <si>
    <t>EXP1045</t>
  </si>
  <si>
    <t>EXP1046</t>
  </si>
  <si>
    <t>EXP1047</t>
  </si>
  <si>
    <t>EXP1048</t>
  </si>
  <si>
    <t>EXP1049</t>
  </si>
  <si>
    <t>EXP1050</t>
  </si>
  <si>
    <t>EXP1051</t>
  </si>
  <si>
    <t>EXP1052</t>
  </si>
  <si>
    <t>EXP1053</t>
  </si>
  <si>
    <t>EXP1054</t>
  </si>
  <si>
    <t>EXP1055</t>
  </si>
  <si>
    <t>EXP1056</t>
  </si>
  <si>
    <t>EXP1057</t>
  </si>
  <si>
    <t>EXP1058</t>
  </si>
  <si>
    <t>EXP1059</t>
  </si>
  <si>
    <t>EXP1060</t>
  </si>
  <si>
    <t>EXP1061</t>
  </si>
  <si>
    <t>Month</t>
  </si>
  <si>
    <t>Grand Total</t>
  </si>
  <si>
    <t>Sum of Amount (INR)</t>
  </si>
  <si>
    <t>Jan</t>
  </si>
  <si>
    <t>Feb</t>
  </si>
  <si>
    <t>Mar</t>
  </si>
  <si>
    <t>Apr</t>
  </si>
  <si>
    <t>May</t>
  </si>
  <si>
    <t>Jun</t>
  </si>
  <si>
    <t>Jul</t>
  </si>
  <si>
    <t>Aug</t>
  </si>
  <si>
    <t>Sep</t>
  </si>
  <si>
    <t>Oct</t>
  </si>
  <si>
    <t>Nov</t>
  </si>
  <si>
    <t>Dec</t>
  </si>
  <si>
    <t>Count of Expense ID</t>
  </si>
  <si>
    <t>Sum of Budget Allocated</t>
  </si>
  <si>
    <t>Sum of Budget Remaining</t>
  </si>
  <si>
    <t>Actual Spent</t>
  </si>
  <si>
    <r>
      <t>Approval</t>
    </r>
    <r>
      <rPr>
        <sz val="11"/>
        <color rgb="FF000000"/>
        <rFont val="Calibri"/>
        <family val="2"/>
        <scheme val="minor"/>
      </rPr>
      <t xml:space="preserve"> Rate</t>
    </r>
  </si>
  <si>
    <t>Avg Expenses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</si>
</sst>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0,&quot;K&quot;"/>
  </numFmts>
  <fonts count="5" x14ac:knownFonts="1">
    <font>
      <sz val="11"/>
      <color theme="1"/>
      <name val="Calibri"/>
      <family val="2"/>
      <scheme val="minor"/>
    </font>
    <font>
      <b/>
      <sz val="32"/>
      <color theme="1"/>
      <name val="Calibri"/>
      <family val="2"/>
      <scheme val="minor"/>
    </font>
    <font>
      <sz val="11"/>
      <color theme="1"/>
      <name val="Calibri"/>
      <family val="2"/>
      <scheme val="minor"/>
    </font>
    <font>
      <b/>
      <sz val="11"/>
      <color rgb="FF064219"/>
      <name val="Calibri"/>
      <family val="2"/>
      <scheme val="minor"/>
    </font>
    <font>
      <sz val="11"/>
      <color rgb="FF000000"/>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vertical="center"/>
    </xf>
    <xf numFmtId="0" fontId="0" fillId="2" borderId="0" xfId="0" applyFill="1"/>
    <xf numFmtId="0" fontId="3" fillId="0" borderId="0" xfId="0" applyFont="1" applyAlignment="1">
      <alignment horizontal="center" vertical="center"/>
    </xf>
    <xf numFmtId="9" fontId="0" fillId="0" borderId="0" xfId="1" applyFont="1"/>
    <xf numFmtId="0" fontId="0" fillId="0" borderId="0" xfId="0" applyAlignment="1">
      <alignment horizontal="center" vertical="center"/>
    </xf>
    <xf numFmtId="0" fontId="0" fillId="0" borderId="0" xfId="0" applyFont="1" applyAlignment="1">
      <alignment horizontal="center" vertical="center"/>
    </xf>
  </cellXfs>
  <cellStyles count="2">
    <cellStyle name="Normal" xfId="0" builtinId="0"/>
    <cellStyle name="Percent" xfId="1" builtinId="5"/>
  </cellStyles>
  <dxfs count="14">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0" formatCode="General"/>
    </dxf>
    <dxf>
      <numFmt numFmtId="165" formatCode="#,##0,&quot;K&quot;"/>
    </dxf>
    <dxf>
      <numFmt numFmtId="165" formatCode="#,##0,&quot;K&quot;"/>
    </dxf>
    <dxf>
      <numFmt numFmtId="164" formatCode="dd\-mmm\-yyyy"/>
    </dxf>
    <dxf>
      <font>
        <sz val="8"/>
      </font>
    </dxf>
    <dxf>
      <font>
        <b/>
        <color theme="1"/>
      </font>
      <border>
        <bottom style="thin">
          <color theme="6"/>
        </bottom>
        <vertical/>
        <horizontal/>
      </border>
    </dxf>
    <dxf>
      <font>
        <sz val="8"/>
        <color theme="1"/>
      </font>
      <border>
        <left style="thin">
          <color theme="6"/>
        </left>
        <right style="thin">
          <color theme="6"/>
        </right>
        <top style="thin">
          <color theme="6"/>
        </top>
        <bottom style="thin">
          <color theme="6"/>
        </bottom>
        <vertical/>
        <horizontal/>
      </border>
    </dxf>
  </dxfs>
  <tableStyles count="2" defaultTableStyle="TableStyleMedium9" defaultPivotStyle="PivotStyleLight16">
    <tableStyle name="My Slicer" pivot="0" table="0" count="10">
      <tableStyleElement type="wholeTable" dxfId="13"/>
      <tableStyleElement type="headerRow" dxfId="12"/>
    </tableStyle>
    <tableStyle name="Slicer Style 1" pivot="0" table="0" count="1">
      <tableStyleElement type="wholeTable" dxfId="11"/>
    </tableStyle>
  </tableStyles>
  <colors>
    <mruColors>
      <color rgb="FF669900"/>
      <color rgb="FF064219"/>
      <color rgb="FF064218"/>
      <color rgb="FF5C5C5C"/>
      <color rgb="FFF6FAF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[Expenses_Raw_Data3.xlsx]Pivot!PivotTable1</c:name>
    <c:fmtId val="2"/>
  </c:pivotSource>
  <c:chart>
    <c:title>
      <c:tx>
        <c:rich>
          <a:bodyPr rot="0" spcFirstLastPara="1" vertOverflow="ellipsis" vert="horz" wrap="square" anchor="ctr" anchorCtr="1"/>
          <a:lstStyle/>
          <a:p>
            <a:pPr>
              <a:defRPr lang="en-US" sz="1100" b="1" i="0" u="none" strike="noStrike" kern="1200" spc="0" baseline="0">
                <a:solidFill>
                  <a:srgbClr val="064219"/>
                </a:solidFill>
                <a:latin typeface="+mn-lt"/>
                <a:ea typeface="+mn-ea"/>
                <a:cs typeface="+mn-cs"/>
              </a:defRPr>
            </a:pPr>
            <a:r>
              <a:rPr lang="en-US" sz="1100" b="1">
                <a:solidFill>
                  <a:srgbClr val="064219"/>
                </a:solidFill>
                <a:latin typeface="+mn-lt"/>
                <a:ea typeface="+mn-ea"/>
                <a:cs typeface="+mn-cs"/>
              </a:rPr>
              <a:t>Expenses by Department</a:t>
            </a:r>
          </a:p>
        </c:rich>
      </c:tx>
      <c:layout/>
      <c:overlay val="0"/>
      <c:spPr>
        <a:noFill/>
        <a:ln>
          <a:noFill/>
        </a:ln>
        <a:effectLst/>
      </c:spPr>
      <c:txPr>
        <a:bodyPr rot="0" spcFirstLastPara="1" vertOverflow="ellipsis" vert="horz" wrap="square" anchor="ctr" anchorCtr="1"/>
        <a:lstStyle/>
        <a:p>
          <a:pPr>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669900"/>
          </a:solidFill>
          <a:ln>
            <a:noFill/>
          </a:ln>
          <a:effectLst/>
        </c:spPr>
        <c:marker>
          <c:symbol val="none"/>
        </c:marker>
        <c:dLbl>
          <c:idx val="0"/>
          <c:layout/>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c:f>
              <c:strCache>
                <c:ptCount val="1"/>
                <c:pt idx="0">
                  <c:v>Total</c:v>
                </c:pt>
              </c:strCache>
            </c:strRef>
          </c:tx>
          <c:spPr>
            <a:solidFill>
              <a:srgbClr val="669900"/>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Pivot!$A$3:$A$9</c:f>
              <c:strCache>
                <c:ptCount val="6"/>
                <c:pt idx="0">
                  <c:v>HR</c:v>
                </c:pt>
                <c:pt idx="1">
                  <c:v>Sales</c:v>
                </c:pt>
                <c:pt idx="2">
                  <c:v>Operations</c:v>
                </c:pt>
                <c:pt idx="3">
                  <c:v>Finance</c:v>
                </c:pt>
                <c:pt idx="4">
                  <c:v>Marketing</c:v>
                </c:pt>
                <c:pt idx="5">
                  <c:v>IT</c:v>
                </c:pt>
              </c:strCache>
            </c:strRef>
          </c:cat>
          <c:val>
            <c:numRef>
              <c:f>Pivot!$B$3:$B$9</c:f>
              <c:numCache>
                <c:formatCode>#,##0,"K"</c:formatCode>
                <c:ptCount val="6"/>
                <c:pt idx="0">
                  <c:v>2004442</c:v>
                </c:pt>
                <c:pt idx="1">
                  <c:v>1609506</c:v>
                </c:pt>
                <c:pt idx="2">
                  <c:v>1422013</c:v>
                </c:pt>
                <c:pt idx="3">
                  <c:v>1333674</c:v>
                </c:pt>
                <c:pt idx="4">
                  <c:v>664807</c:v>
                </c:pt>
                <c:pt idx="5">
                  <c:v>632850</c:v>
                </c:pt>
              </c:numCache>
            </c:numRef>
          </c:val>
        </c:ser>
        <c:dLbls>
          <c:dLblPos val="outEnd"/>
          <c:showLegendKey val="0"/>
          <c:showVal val="1"/>
          <c:showCatName val="0"/>
          <c:showSerName val="0"/>
          <c:showPercent val="0"/>
          <c:showBubbleSize val="0"/>
        </c:dLbls>
        <c:gapWidth val="219"/>
        <c:overlap val="-27"/>
        <c:axId val="-1582498064"/>
        <c:axId val="-1582495344"/>
      </c:barChart>
      <c:catAx>
        <c:axId val="-1582498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95344"/>
        <c:crosses val="autoZero"/>
        <c:auto val="1"/>
        <c:lblAlgn val="ctr"/>
        <c:lblOffset val="100"/>
        <c:noMultiLvlLbl val="0"/>
      </c:catAx>
      <c:valAx>
        <c:axId val="-1582495344"/>
        <c:scaling>
          <c:orientation val="minMax"/>
        </c:scaling>
        <c:delete val="1"/>
        <c:axPos val="l"/>
        <c:numFmt formatCode="#,##0,&quot;K&quot;" sourceLinked="1"/>
        <c:majorTickMark val="out"/>
        <c:minorTickMark val="none"/>
        <c:tickLblPos val="nextTo"/>
        <c:crossAx val="-158249806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[Expenses_Raw_Data3.xlsx]Pivot!PivotTable2</c:name>
    <c:fmtId val="7"/>
  </c:pivotSource>
  <c:chart>
    <c:title>
      <c:tx>
        <c:rich>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r>
              <a:rPr lang="en-US" sz="1100" b="1" i="0" u="none" strike="noStrike" kern="1200" spc="0" baseline="0">
                <a:solidFill>
                  <a:srgbClr val="064219"/>
                </a:solidFill>
                <a:latin typeface="+mn-lt"/>
                <a:ea typeface="+mn-ea"/>
                <a:cs typeface="+mn-cs"/>
              </a:rPr>
              <a:t>Expenses by Category</a:t>
            </a:r>
          </a:p>
        </c:rich>
      </c:tx>
      <c:layout>
        <c:manualLayout>
          <c:xMode val="edge"/>
          <c:yMode val="edge"/>
          <c:x val="0.28174652391332311"/>
          <c:y val="6.4745817437187214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66990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669900"/>
          </a:solidFill>
          <a:ln w="19050">
            <a:solidFill>
              <a:schemeClr val="lt1"/>
            </a:solidFill>
          </a:ln>
          <a:effectLst/>
        </c:spPr>
      </c:pivotFmt>
      <c:pivotFmt>
        <c:idx val="10"/>
        <c:spPr>
          <a:solidFill>
            <a:srgbClr val="669900"/>
          </a:solidFill>
          <a:ln w="19050">
            <a:solidFill>
              <a:schemeClr val="lt1"/>
            </a:solidFill>
          </a:ln>
          <a:effectLst/>
        </c:spPr>
      </c:pivotFmt>
      <c:pivotFmt>
        <c:idx val="11"/>
        <c:spPr>
          <a:solidFill>
            <a:srgbClr val="669900"/>
          </a:solidFill>
          <a:ln w="19050">
            <a:solidFill>
              <a:schemeClr val="lt1"/>
            </a:solidFill>
          </a:ln>
          <a:effectLst/>
        </c:spPr>
      </c:pivotFmt>
      <c:pivotFmt>
        <c:idx val="12"/>
        <c:spPr>
          <a:solidFill>
            <a:srgbClr val="669900"/>
          </a:solidFill>
          <a:ln w="19050">
            <a:solidFill>
              <a:schemeClr val="lt1"/>
            </a:solidFill>
          </a:ln>
          <a:effectLst/>
        </c:spPr>
      </c:pivotFmt>
      <c:pivotFmt>
        <c:idx val="13"/>
        <c:spPr>
          <a:solidFill>
            <a:srgbClr val="669900"/>
          </a:solidFill>
          <a:ln w="19050">
            <a:solidFill>
              <a:schemeClr val="lt1"/>
            </a:solidFill>
          </a:ln>
          <a:effectLst/>
        </c:spPr>
      </c:pivotFmt>
      <c:pivotFmt>
        <c:idx val="14"/>
        <c:spPr>
          <a:solidFill>
            <a:srgbClr val="669900"/>
          </a:solidFill>
          <a:ln w="19050">
            <a:solidFill>
              <a:schemeClr val="lt1"/>
            </a:solidFill>
          </a:ln>
          <a:effectLst/>
        </c:spPr>
      </c:pivotFmt>
    </c:pivotFmts>
    <c:plotArea>
      <c:layout>
        <c:manualLayout>
          <c:layoutTarget val="inner"/>
          <c:xMode val="edge"/>
          <c:yMode val="edge"/>
          <c:x val="0.12142749852984826"/>
          <c:y val="0.22096960118728989"/>
          <c:w val="0.83281437603880071"/>
          <c:h val="0.45983465175756855"/>
        </c:manualLayout>
      </c:layout>
      <c:barChart>
        <c:barDir val="col"/>
        <c:grouping val="clustered"/>
        <c:varyColors val="0"/>
        <c:ser>
          <c:idx val="0"/>
          <c:order val="0"/>
          <c:tx>
            <c:strRef>
              <c:f>Pivot!$E$2</c:f>
              <c:strCache>
                <c:ptCount val="1"/>
                <c:pt idx="0">
                  <c:v>Total</c:v>
                </c:pt>
              </c:strCache>
            </c:strRef>
          </c:tx>
          <c:spPr>
            <a:solidFill>
              <a:srgbClr val="669900"/>
            </a:solidFill>
            <a:ln w="19050">
              <a:solidFill>
                <a:schemeClr val="lt1"/>
              </a:solidFill>
            </a:ln>
            <a:effectLst/>
          </c:spPr>
          <c:invertIfNegative val="0"/>
          <c:dPt>
            <c:idx val="0"/>
            <c:invertIfNegative val="0"/>
            <c:bubble3D val="0"/>
            <c:spPr>
              <a:solidFill>
                <a:srgbClr val="669900"/>
              </a:solidFill>
              <a:ln w="19050">
                <a:solidFill>
                  <a:schemeClr val="lt1"/>
                </a:solidFill>
              </a:ln>
              <a:effectLst/>
            </c:spPr>
          </c:dPt>
          <c:dPt>
            <c:idx val="1"/>
            <c:invertIfNegative val="0"/>
            <c:bubble3D val="0"/>
            <c:spPr>
              <a:solidFill>
                <a:srgbClr val="669900"/>
              </a:solidFill>
              <a:ln w="19050">
                <a:solidFill>
                  <a:schemeClr val="lt1"/>
                </a:solidFill>
              </a:ln>
              <a:effectLst/>
            </c:spPr>
          </c:dPt>
          <c:dPt>
            <c:idx val="2"/>
            <c:invertIfNegative val="0"/>
            <c:bubble3D val="0"/>
            <c:spPr>
              <a:solidFill>
                <a:srgbClr val="669900"/>
              </a:solidFill>
              <a:ln w="19050">
                <a:solidFill>
                  <a:schemeClr val="lt1"/>
                </a:solidFill>
              </a:ln>
              <a:effectLst/>
            </c:spPr>
          </c:dPt>
          <c:dPt>
            <c:idx val="3"/>
            <c:invertIfNegative val="0"/>
            <c:bubble3D val="0"/>
            <c:spPr>
              <a:solidFill>
                <a:srgbClr val="669900"/>
              </a:solidFill>
              <a:ln w="19050">
                <a:solidFill>
                  <a:schemeClr val="lt1"/>
                </a:solidFill>
              </a:ln>
              <a:effectLst/>
            </c:spPr>
          </c:dPt>
          <c:dPt>
            <c:idx val="4"/>
            <c:invertIfNegative val="0"/>
            <c:bubble3D val="0"/>
            <c:spPr>
              <a:solidFill>
                <a:srgbClr val="669900"/>
              </a:solidFill>
              <a:ln w="19050">
                <a:solidFill>
                  <a:schemeClr val="lt1"/>
                </a:solidFill>
              </a:ln>
              <a:effectLst/>
            </c:spPr>
          </c:dPt>
          <c:dPt>
            <c:idx val="5"/>
            <c:invertIfNegative val="0"/>
            <c:bubble3D val="0"/>
            <c:spPr>
              <a:solidFill>
                <a:srgbClr val="6699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Pivot!$D$3:$D$9</c:f>
              <c:strCache>
                <c:ptCount val="6"/>
                <c:pt idx="0">
                  <c:v>Software</c:v>
                </c:pt>
                <c:pt idx="1">
                  <c:v>Training</c:v>
                </c:pt>
                <c:pt idx="2">
                  <c:v>Utilities</c:v>
                </c:pt>
                <c:pt idx="3">
                  <c:v>Office Supplies</c:v>
                </c:pt>
                <c:pt idx="4">
                  <c:v>Travel</c:v>
                </c:pt>
                <c:pt idx="5">
                  <c:v>Equipment</c:v>
                </c:pt>
              </c:strCache>
            </c:strRef>
          </c:cat>
          <c:val>
            <c:numRef>
              <c:f>Pivot!$E$3:$E$9</c:f>
              <c:numCache>
                <c:formatCode>#,##0,"K"</c:formatCode>
                <c:ptCount val="6"/>
                <c:pt idx="0">
                  <c:v>1989840</c:v>
                </c:pt>
                <c:pt idx="1">
                  <c:v>1435998</c:v>
                </c:pt>
                <c:pt idx="2">
                  <c:v>1278716</c:v>
                </c:pt>
                <c:pt idx="3">
                  <c:v>1138735</c:v>
                </c:pt>
                <c:pt idx="4">
                  <c:v>1012051</c:v>
                </c:pt>
                <c:pt idx="5">
                  <c:v>811952</c:v>
                </c:pt>
              </c:numCache>
            </c:numRef>
          </c:val>
        </c:ser>
        <c:dLbls>
          <c:showLegendKey val="0"/>
          <c:showVal val="0"/>
          <c:showCatName val="0"/>
          <c:showSerName val="0"/>
          <c:showPercent val="0"/>
          <c:showBubbleSize val="0"/>
        </c:dLbls>
        <c:gapWidth val="100"/>
        <c:axId val="-1582507312"/>
        <c:axId val="-1582500784"/>
      </c:barChart>
      <c:catAx>
        <c:axId val="-158250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00784"/>
        <c:crosses val="autoZero"/>
        <c:auto val="1"/>
        <c:lblAlgn val="ctr"/>
        <c:lblOffset val="100"/>
        <c:noMultiLvlLbl val="0"/>
      </c:catAx>
      <c:valAx>
        <c:axId val="-1582500784"/>
        <c:scaling>
          <c:orientation val="minMax"/>
        </c:scaling>
        <c:delete val="1"/>
        <c:axPos val="l"/>
        <c:numFmt formatCode="#,##0,&quot;K&quot;" sourceLinked="1"/>
        <c:majorTickMark val="out"/>
        <c:minorTickMark val="none"/>
        <c:tickLblPos val="nextTo"/>
        <c:crossAx val="-158250731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[Expenses_Raw_Data3.xlsx]Pivot!PivotTable3</c:name>
    <c:fmtId val="3"/>
  </c:pivotSource>
  <c:chart>
    <c:title>
      <c:tx>
        <c:rich>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r>
              <a:rPr lang="en-US" sz="1100" b="1" i="0" u="none" strike="noStrike" kern="1200" spc="0" baseline="0">
                <a:solidFill>
                  <a:srgbClr val="064219"/>
                </a:solidFill>
                <a:latin typeface="+mn-lt"/>
                <a:ea typeface="+mn-ea"/>
                <a:cs typeface="+mn-cs"/>
              </a:rPr>
              <a:t>Monthly Trend</a:t>
            </a:r>
          </a:p>
        </c:rich>
      </c:tx>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669900"/>
            </a:solidFill>
            <a:round/>
          </a:ln>
          <a:effectLst/>
        </c:spPr>
        <c:marker>
          <c:symbol val="circle"/>
          <c:size val="5"/>
          <c:spPr>
            <a:solidFill>
              <a:srgbClr val="064219"/>
            </a:solidFill>
            <a:ln w="9525" cap="flat">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rgbClr val="669900"/>
            </a:solidFill>
            <a:round/>
          </a:ln>
          <a:effectLst/>
        </c:spPr>
        <c:marker>
          <c:symbol val="circle"/>
          <c:size val="5"/>
          <c:spPr>
            <a:solidFill>
              <a:srgbClr val="064219"/>
            </a:solidFill>
            <a:ln w="9525" cap="flat">
              <a:solidFill>
                <a:schemeClr val="accent1"/>
              </a:solidFill>
            </a:ln>
            <a:effectLst/>
          </c:spPr>
        </c:marker>
        <c:dLbl>
          <c:idx val="0"/>
          <c:layout>
            <c:manualLayout>
              <c:x val="-5.9684823298309299E-2"/>
              <c:y val="6.619830869261750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rgbClr val="669900"/>
            </a:solidFill>
            <a:round/>
          </a:ln>
          <a:effectLst/>
        </c:spPr>
        <c:marker>
          <c:symbol val="circle"/>
          <c:size val="5"/>
          <c:spPr>
            <a:solidFill>
              <a:srgbClr val="064219"/>
            </a:solidFill>
            <a:ln w="9525" cap="flat">
              <a:solidFill>
                <a:schemeClr val="accent1"/>
              </a:solidFill>
            </a:ln>
            <a:effectLst/>
          </c:spPr>
        </c:marker>
        <c:dLbl>
          <c:idx val="0"/>
          <c:layout>
            <c:manualLayout>
              <c:x val="1.1217572522091534E-2"/>
              <c:y val="-4.720371736405274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669900"/>
            </a:solidFill>
            <a:round/>
          </a:ln>
          <a:effectLst/>
        </c:spPr>
        <c:marker>
          <c:symbol val="circle"/>
          <c:size val="5"/>
          <c:spPr>
            <a:solidFill>
              <a:srgbClr val="064219"/>
            </a:solidFill>
            <a:ln w="9525" cap="flat">
              <a:solidFill>
                <a:schemeClr val="accent1"/>
              </a:solidFill>
            </a:ln>
            <a:effectLst/>
          </c:spPr>
        </c:marker>
        <c:dLbl>
          <c:idx val="0"/>
          <c:layout>
            <c:manualLayout>
              <c:x val="-5.9684823298309271E-2"/>
              <c:y val="7.24984212513214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Pivot!$H$2</c:f>
              <c:strCache>
                <c:ptCount val="1"/>
                <c:pt idx="0">
                  <c:v>Total</c:v>
                </c:pt>
              </c:strCache>
            </c:strRef>
          </c:tx>
          <c:spPr>
            <a:ln w="28575" cap="rnd">
              <a:solidFill>
                <a:srgbClr val="669900"/>
              </a:solidFill>
              <a:round/>
            </a:ln>
            <a:effectLst/>
          </c:spPr>
          <c:marker>
            <c:symbol val="circle"/>
            <c:size val="5"/>
            <c:spPr>
              <a:solidFill>
                <a:srgbClr val="064219"/>
              </a:solidFill>
              <a:ln w="9525" cap="flat">
                <a:solidFill>
                  <a:schemeClr val="accent1"/>
                </a:solidFill>
              </a:ln>
              <a:effectLst/>
            </c:spPr>
          </c:marker>
          <c:dPt>
            <c:idx val="2"/>
            <c:marker>
              <c:symbol val="circle"/>
              <c:size val="5"/>
              <c:spPr>
                <a:solidFill>
                  <a:srgbClr val="064219"/>
                </a:solidFill>
                <a:ln w="9525" cap="flat">
                  <a:solidFill>
                    <a:schemeClr val="accent1"/>
                  </a:solidFill>
                </a:ln>
                <a:effectLst/>
              </c:spPr>
            </c:marker>
            <c:bubble3D val="0"/>
            <c:spPr>
              <a:ln w="28575" cap="rnd">
                <a:solidFill>
                  <a:srgbClr val="669900"/>
                </a:solidFill>
                <a:round/>
              </a:ln>
              <a:effectLst/>
            </c:spPr>
          </c:dPt>
          <c:dPt>
            <c:idx val="5"/>
            <c:marker>
              <c:symbol val="circle"/>
              <c:size val="5"/>
              <c:spPr>
                <a:solidFill>
                  <a:srgbClr val="064219"/>
                </a:solidFill>
                <a:ln w="9525" cap="flat">
                  <a:solidFill>
                    <a:schemeClr val="accent1"/>
                  </a:solidFill>
                </a:ln>
                <a:effectLst/>
              </c:spPr>
            </c:marker>
            <c:bubble3D val="0"/>
            <c:spPr>
              <a:ln w="28575" cap="rnd">
                <a:solidFill>
                  <a:srgbClr val="669900"/>
                </a:solidFill>
                <a:round/>
              </a:ln>
              <a:effectLst/>
            </c:spPr>
          </c:dPt>
          <c:dPt>
            <c:idx val="8"/>
            <c:marker>
              <c:symbol val="circle"/>
              <c:size val="5"/>
              <c:spPr>
                <a:solidFill>
                  <a:srgbClr val="064219"/>
                </a:solidFill>
                <a:ln w="9525" cap="flat">
                  <a:solidFill>
                    <a:schemeClr val="accent1"/>
                  </a:solidFill>
                </a:ln>
                <a:effectLst/>
              </c:spPr>
            </c:marker>
            <c:bubble3D val="0"/>
            <c:spPr>
              <a:ln w="28575" cap="rnd">
                <a:solidFill>
                  <a:srgbClr val="669900"/>
                </a:solidFill>
                <a:round/>
              </a:ln>
              <a:effectLst/>
            </c:spPr>
          </c:dPt>
          <c:dLbls>
            <c:dLbl>
              <c:idx val="2"/>
              <c:layout>
                <c:manualLayout>
                  <c:x val="-5.9684823298309299E-2"/>
                  <c:y val="6.61983086926175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5.9684823298309271E-2"/>
                  <c:y val="7.249842125132141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1.1217572522091534E-2"/>
                  <c:y val="-4.72037173640527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Pivot!$H$3:$H$15</c:f>
              <c:numCache>
                <c:formatCode>#,##0,"K"</c:formatCode>
                <c:ptCount val="12"/>
                <c:pt idx="0">
                  <c:v>786944</c:v>
                </c:pt>
                <c:pt idx="1">
                  <c:v>992103</c:v>
                </c:pt>
                <c:pt idx="2">
                  <c:v>204270</c:v>
                </c:pt>
                <c:pt idx="3">
                  <c:v>807404</c:v>
                </c:pt>
                <c:pt idx="4">
                  <c:v>738726</c:v>
                </c:pt>
                <c:pt idx="5">
                  <c:v>437864</c:v>
                </c:pt>
                <c:pt idx="6">
                  <c:v>617750</c:v>
                </c:pt>
                <c:pt idx="7">
                  <c:v>416274</c:v>
                </c:pt>
                <c:pt idx="8">
                  <c:v>161787</c:v>
                </c:pt>
                <c:pt idx="9">
                  <c:v>1054867</c:v>
                </c:pt>
                <c:pt idx="10">
                  <c:v>789912</c:v>
                </c:pt>
                <c:pt idx="11">
                  <c:v>659391</c:v>
                </c:pt>
              </c:numCache>
            </c:numRef>
          </c:val>
          <c:smooth val="0"/>
        </c:ser>
        <c:dLbls>
          <c:dLblPos val="t"/>
          <c:showLegendKey val="0"/>
          <c:showVal val="1"/>
          <c:showCatName val="0"/>
          <c:showSerName val="0"/>
          <c:showPercent val="0"/>
          <c:showBubbleSize val="0"/>
        </c:dLbls>
        <c:marker val="1"/>
        <c:smooth val="0"/>
        <c:axId val="-1582501872"/>
        <c:axId val="-1582493712"/>
      </c:lineChart>
      <c:catAx>
        <c:axId val="-158250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93712"/>
        <c:crosses val="autoZero"/>
        <c:auto val="1"/>
        <c:lblAlgn val="ctr"/>
        <c:lblOffset val="100"/>
        <c:noMultiLvlLbl val="0"/>
      </c:catAx>
      <c:valAx>
        <c:axId val="-158249371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82501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[Expenses_Raw_Data3.xlsx]Pivot!PivotTable7</c:name>
    <c:fmtId val="3"/>
  </c:pivotSource>
  <c:chart>
    <c:title>
      <c:tx>
        <c:rich>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r>
              <a:rPr lang="en-US" sz="1100" b="1" i="0" u="none" strike="noStrike" kern="1200" spc="0" baseline="0">
                <a:solidFill>
                  <a:srgbClr val="064219"/>
                </a:solidFill>
                <a:latin typeface="+mn-lt"/>
                <a:ea typeface="+mn-ea"/>
                <a:cs typeface="+mn-cs"/>
              </a:rPr>
              <a:t>Budget vs Actual</a:t>
            </a:r>
          </a:p>
        </c:rich>
      </c:tx>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6421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92D050"/>
          </a:solidFill>
          <a:ln>
            <a:solidFill>
              <a:schemeClr val="accen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Pivot!$B$21</c:f>
              <c:strCache>
                <c:ptCount val="1"/>
                <c:pt idx="0">
                  <c:v>Actual Spent</c:v>
                </c:pt>
              </c:strCache>
            </c:strRef>
          </c:tx>
          <c:spPr>
            <a:solidFill>
              <a:srgbClr val="0642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Pivot!$A$22:$A$28</c:f>
              <c:strCache>
                <c:ptCount val="6"/>
                <c:pt idx="0">
                  <c:v>HR</c:v>
                </c:pt>
                <c:pt idx="1">
                  <c:v>Sales</c:v>
                </c:pt>
                <c:pt idx="2">
                  <c:v>Operations</c:v>
                </c:pt>
                <c:pt idx="3">
                  <c:v>Finance</c:v>
                </c:pt>
                <c:pt idx="4">
                  <c:v>Marketing</c:v>
                </c:pt>
                <c:pt idx="5">
                  <c:v>IT</c:v>
                </c:pt>
              </c:strCache>
            </c:strRef>
          </c:cat>
          <c:val>
            <c:numRef>
              <c:f>Pivot!$B$22:$B$28</c:f>
              <c:numCache>
                <c:formatCode>#,##0,"K"</c:formatCode>
                <c:ptCount val="6"/>
                <c:pt idx="0">
                  <c:v>2004442</c:v>
                </c:pt>
                <c:pt idx="1">
                  <c:v>1609506</c:v>
                </c:pt>
                <c:pt idx="2">
                  <c:v>1422013</c:v>
                </c:pt>
                <c:pt idx="3">
                  <c:v>1333674</c:v>
                </c:pt>
                <c:pt idx="4">
                  <c:v>664807</c:v>
                </c:pt>
                <c:pt idx="5">
                  <c:v>632850</c:v>
                </c:pt>
              </c:numCache>
            </c:numRef>
          </c:val>
        </c:ser>
        <c:ser>
          <c:idx val="1"/>
          <c:order val="1"/>
          <c:tx>
            <c:strRef>
              <c:f>Pivot!$C$21</c:f>
              <c:strCache>
                <c:ptCount val="1"/>
                <c:pt idx="0">
                  <c:v>Sum of Budget Allocated</c:v>
                </c:pt>
              </c:strCache>
            </c:strRef>
          </c:tx>
          <c:spPr>
            <a:solidFill>
              <a:srgbClr val="92D050"/>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Pivot!$A$22:$A$28</c:f>
              <c:strCache>
                <c:ptCount val="6"/>
                <c:pt idx="0">
                  <c:v>HR</c:v>
                </c:pt>
                <c:pt idx="1">
                  <c:v>Sales</c:v>
                </c:pt>
                <c:pt idx="2">
                  <c:v>Operations</c:v>
                </c:pt>
                <c:pt idx="3">
                  <c:v>Finance</c:v>
                </c:pt>
                <c:pt idx="4">
                  <c:v>Marketing</c:v>
                </c:pt>
                <c:pt idx="5">
                  <c:v>IT</c:v>
                </c:pt>
              </c:strCache>
            </c:strRef>
          </c:cat>
          <c:val>
            <c:numRef>
              <c:f>Pivot!$C$22:$C$28</c:f>
              <c:numCache>
                <c:formatCode>#,##0,"K"</c:formatCode>
                <c:ptCount val="6"/>
                <c:pt idx="0">
                  <c:v>3061939</c:v>
                </c:pt>
                <c:pt idx="1">
                  <c:v>2434859</c:v>
                </c:pt>
                <c:pt idx="2">
                  <c:v>2300716</c:v>
                </c:pt>
                <c:pt idx="3">
                  <c:v>2081398</c:v>
                </c:pt>
                <c:pt idx="4">
                  <c:v>1099704</c:v>
                </c:pt>
                <c:pt idx="5">
                  <c:v>1288507</c:v>
                </c:pt>
              </c:numCache>
            </c:numRef>
          </c:val>
        </c:ser>
        <c:dLbls>
          <c:dLblPos val="outEnd"/>
          <c:showLegendKey val="0"/>
          <c:showVal val="1"/>
          <c:showCatName val="0"/>
          <c:showSerName val="0"/>
          <c:showPercent val="0"/>
          <c:showBubbleSize val="0"/>
        </c:dLbls>
        <c:gapWidth val="219"/>
        <c:overlap val="-27"/>
        <c:axId val="-1582493168"/>
        <c:axId val="-1582505136"/>
      </c:barChart>
      <c:catAx>
        <c:axId val="-158249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82505136"/>
        <c:crosses val="autoZero"/>
        <c:auto val="1"/>
        <c:lblAlgn val="ctr"/>
        <c:lblOffset val="100"/>
        <c:noMultiLvlLbl val="0"/>
      </c:catAx>
      <c:valAx>
        <c:axId val="-1582505136"/>
        <c:scaling>
          <c:orientation val="minMax"/>
        </c:scaling>
        <c:delete val="1"/>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5824931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[Expenses_Raw_Data3.xlsx]Pivot!PivotTable6</c:name>
    <c:fmtId val="2"/>
  </c:pivotSource>
  <c:chart>
    <c:title>
      <c:tx>
        <c:rich>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r>
              <a:rPr lang="en-US" sz="1100" b="1" i="0" u="none" strike="noStrike" kern="1200" spc="0" baseline="0">
                <a:solidFill>
                  <a:srgbClr val="064219"/>
                </a:solidFill>
                <a:latin typeface="+mn-lt"/>
                <a:ea typeface="+mn-ea"/>
                <a:cs typeface="+mn-cs"/>
              </a:rPr>
              <a:t>Payment Method</a:t>
            </a:r>
          </a:p>
        </c:rich>
      </c:tx>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6699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Pivot!$B$13</c:f>
              <c:strCache>
                <c:ptCount val="1"/>
                <c:pt idx="0">
                  <c:v>Total</c:v>
                </c:pt>
              </c:strCache>
            </c:strRef>
          </c:tx>
          <c:spPr>
            <a:solidFill>
              <a:srgbClr val="66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Pivot!$A$14:$A$18</c:f>
              <c:strCache>
                <c:ptCount val="4"/>
                <c:pt idx="0">
                  <c:v>Bank Transfer</c:v>
                </c:pt>
                <c:pt idx="1">
                  <c:v>Cash</c:v>
                </c:pt>
                <c:pt idx="2">
                  <c:v>UPI</c:v>
                </c:pt>
                <c:pt idx="3">
                  <c:v>Credit Card</c:v>
                </c:pt>
              </c:strCache>
            </c:strRef>
          </c:cat>
          <c:val>
            <c:numRef>
              <c:f>Pivot!$B$14:$B$18</c:f>
              <c:numCache>
                <c:formatCode>#,##0,"K"</c:formatCode>
                <c:ptCount val="4"/>
                <c:pt idx="0">
                  <c:v>2495722</c:v>
                </c:pt>
                <c:pt idx="1">
                  <c:v>2299327</c:v>
                </c:pt>
                <c:pt idx="2">
                  <c:v>2015083</c:v>
                </c:pt>
                <c:pt idx="3">
                  <c:v>857160</c:v>
                </c:pt>
              </c:numCache>
            </c:numRef>
          </c:val>
        </c:ser>
        <c:dLbls>
          <c:showLegendKey val="0"/>
          <c:showVal val="0"/>
          <c:showCatName val="0"/>
          <c:showSerName val="0"/>
          <c:showPercent val="0"/>
          <c:showBubbleSize val="0"/>
        </c:dLbls>
        <c:gapWidth val="182"/>
        <c:axId val="-1582498608"/>
        <c:axId val="-1582508400"/>
      </c:barChart>
      <c:catAx>
        <c:axId val="-158249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08400"/>
        <c:crosses val="autoZero"/>
        <c:auto val="1"/>
        <c:lblAlgn val="ctr"/>
        <c:lblOffset val="100"/>
        <c:noMultiLvlLbl val="0"/>
      </c:catAx>
      <c:valAx>
        <c:axId val="-1582508400"/>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98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[Expenses_Raw_Data3.xlsx]Pivot!PivotTable8</c:name>
    <c:fmtId val="9"/>
  </c:pivotSource>
  <c:chart>
    <c:title>
      <c:tx>
        <c:rich>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r>
              <a:rPr lang="en-US" sz="1100" b="1" i="0" u="none" strike="noStrike" kern="1200" spc="0" baseline="0">
                <a:solidFill>
                  <a:srgbClr val="064219"/>
                </a:solidFill>
                <a:latin typeface="+mn-lt"/>
                <a:ea typeface="+mn-ea"/>
                <a:cs typeface="+mn-cs"/>
              </a:rPr>
              <a:t>Approval Rate by Amount </a:t>
            </a:r>
          </a:p>
        </c:rich>
      </c:tx>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064219"/>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64219"/>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669900"/>
          </a:solidFill>
          <a:ln w="19050">
            <a:solidFill>
              <a:schemeClr val="lt1"/>
            </a:solidFill>
          </a:ln>
          <a:effectLst/>
        </c:spPr>
      </c:pivotFmt>
      <c:pivotFmt>
        <c:idx val="6"/>
        <c:spPr>
          <a:solidFill>
            <a:srgbClr val="064219"/>
          </a:solidFill>
          <a:ln w="19050">
            <a:solidFill>
              <a:schemeClr val="lt1"/>
            </a:solidFill>
          </a:ln>
          <a:effectLst/>
        </c:spPr>
      </c:pivotFmt>
    </c:pivotFmts>
    <c:plotArea>
      <c:layout>
        <c:manualLayout>
          <c:layoutTarget val="inner"/>
          <c:xMode val="edge"/>
          <c:yMode val="edge"/>
          <c:x val="0.14605450039407059"/>
          <c:y val="0.21304383130782448"/>
          <c:w val="0.4054330173280335"/>
          <c:h val="0.70783455143739227"/>
        </c:manualLayout>
      </c:layout>
      <c:pieChart>
        <c:varyColors val="1"/>
        <c:ser>
          <c:idx val="0"/>
          <c:order val="0"/>
          <c:tx>
            <c:strRef>
              <c:f>Pivot!$K$12</c:f>
              <c:strCache>
                <c:ptCount val="1"/>
                <c:pt idx="0">
                  <c:v>Total</c:v>
                </c:pt>
              </c:strCache>
            </c:strRef>
          </c:tx>
          <c:spPr>
            <a:solidFill>
              <a:srgbClr val="064219"/>
            </a:solidFill>
          </c:spPr>
          <c:dPt>
            <c:idx val="0"/>
            <c:bubble3D val="0"/>
            <c:spPr>
              <a:solidFill>
                <a:srgbClr val="669900"/>
              </a:solidFill>
              <a:ln w="19050">
                <a:solidFill>
                  <a:schemeClr val="lt1"/>
                </a:solidFill>
              </a:ln>
              <a:effectLst/>
            </c:spPr>
          </c:dPt>
          <c:dPt>
            <c:idx val="1"/>
            <c:bubble3D val="0"/>
            <c:spPr>
              <a:solidFill>
                <a:srgbClr val="064219"/>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Pivot!$J$13:$J$15</c:f>
              <c:strCache>
                <c:ptCount val="2"/>
                <c:pt idx="0">
                  <c:v>No</c:v>
                </c:pt>
                <c:pt idx="1">
                  <c:v>Yes</c:v>
                </c:pt>
              </c:strCache>
            </c:strRef>
          </c:cat>
          <c:val>
            <c:numRef>
              <c:f>Pivot!$K$13:$K$15</c:f>
              <c:numCache>
                <c:formatCode>#,##0,"K"</c:formatCode>
                <c:ptCount val="2"/>
                <c:pt idx="0">
                  <c:v>2809314</c:v>
                </c:pt>
                <c:pt idx="1">
                  <c:v>4857978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763313369830606"/>
          <c:y val="0.40999278030985564"/>
          <c:w val="0.12102896309861975"/>
          <c:h val="0.23676827446091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309647</xdr:colOff>
      <xdr:row>35</xdr:row>
      <xdr:rowOff>145472</xdr:rowOff>
    </xdr:from>
    <xdr:to>
      <xdr:col>4</xdr:col>
      <xdr:colOff>1137647</xdr:colOff>
      <xdr:row>43</xdr:row>
      <xdr:rowOff>6233</xdr:rowOff>
    </xdr:to>
    <mc:AlternateContent xmlns:mc="http://schemas.openxmlformats.org/markup-compatibility/2006" xmlns:a14="http://schemas.microsoft.com/office/drawing/2010/main">
      <mc:Choice Requires="a14">
        <xdr:graphicFrame macro="">
          <xdr:nvGraphicFramePr>
            <xdr:cNvPr id="1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39687" y="6546272"/>
              <a:ext cx="828000" cy="1323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15</xdr:col>
      <xdr:colOff>519546</xdr:colOff>
      <xdr:row>3</xdr:row>
      <xdr:rowOff>207818</xdr:rowOff>
    </xdr:to>
    <xdr:sp macro="" textlink="">
      <xdr:nvSpPr>
        <xdr:cNvPr id="5" name="Rounded Rectangle 4"/>
        <xdr:cNvSpPr/>
      </xdr:nvSpPr>
      <xdr:spPr>
        <a:xfrm>
          <a:off x="1" y="0"/>
          <a:ext cx="10016836" cy="893618"/>
        </a:xfrm>
        <a:prstGeom prst="roundRect">
          <a:avLst/>
        </a:prstGeom>
        <a:gradFill flip="none" rotWithShape="1">
          <a:gsLst>
            <a:gs pos="0">
              <a:srgbClr val="064219"/>
            </a:gs>
            <a:gs pos="100000">
              <a:srgbClr val="11701F"/>
            </a:gs>
          </a:gsLst>
          <a:lin ang="5400000" scaled="1"/>
          <a:tileRect/>
        </a:gra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a:solidFill>
                <a:schemeClr val="lt1"/>
              </a:solidFill>
              <a:latin typeface="+mn-lt"/>
              <a:ea typeface="+mn-ea"/>
              <a:cs typeface="+mn-cs"/>
            </a:rPr>
            <a:t>EXPENSES DASHBOARD | FY 2025</a:t>
          </a:r>
        </a:p>
      </xdr:txBody>
    </xdr:sp>
    <xdr:clientData/>
  </xdr:twoCellAnchor>
  <xdr:twoCellAnchor editAs="absolute">
    <xdr:from>
      <xdr:col>0</xdr:col>
      <xdr:colOff>143740</xdr:colOff>
      <xdr:row>0</xdr:row>
      <xdr:rowOff>182996</xdr:rowOff>
    </xdr:from>
    <xdr:to>
      <xdr:col>0</xdr:col>
      <xdr:colOff>723899</xdr:colOff>
      <xdr:row>3</xdr:row>
      <xdr:rowOff>30480</xdr:rowOff>
    </xdr:to>
    <xdr:sp macro="" textlink="">
      <xdr:nvSpPr>
        <xdr:cNvPr id="6" name="Oval 5"/>
        <xdr:cNvSpPr/>
      </xdr:nvSpPr>
      <xdr:spPr>
        <a:xfrm>
          <a:off x="143740" y="182996"/>
          <a:ext cx="580159" cy="533284"/>
        </a:xfrm>
        <a:prstGeom prst="ellipse">
          <a:avLst/>
        </a:prstGeom>
        <a:no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a:solidFill>
                <a:schemeClr val="lt1"/>
              </a:solidFill>
              <a:effectLst/>
              <a:latin typeface="+mn-lt"/>
              <a:ea typeface="+mn-ea"/>
              <a:cs typeface="+mn-cs"/>
            </a:rPr>
            <a:t>₹</a:t>
          </a:r>
          <a:endParaRPr lang="en-US" sz="1200" b="0" i="0">
            <a:solidFill>
              <a:schemeClr val="lt1"/>
            </a:solidFill>
            <a:effectLst/>
            <a:latin typeface="+mn-lt"/>
            <a:ea typeface="+mn-ea"/>
            <a:cs typeface="+mn-cs"/>
          </a:endParaRPr>
        </a:p>
      </xdr:txBody>
    </xdr:sp>
    <xdr:clientData/>
  </xdr:twoCellAnchor>
  <xdr:twoCellAnchor editAs="absolute">
    <xdr:from>
      <xdr:col>13</xdr:col>
      <xdr:colOff>515389</xdr:colOff>
      <xdr:row>0</xdr:row>
      <xdr:rowOff>0</xdr:rowOff>
    </xdr:from>
    <xdr:to>
      <xdr:col>15</xdr:col>
      <xdr:colOff>446989</xdr:colOff>
      <xdr:row>3</xdr:row>
      <xdr:rowOff>120600</xdr:rowOff>
    </xdr:to>
    <xdr:sp macro="" textlink="">
      <xdr:nvSpPr>
        <xdr:cNvPr id="7" name="Rectangle 6"/>
        <xdr:cNvSpPr/>
      </xdr:nvSpPr>
      <xdr:spPr>
        <a:xfrm>
          <a:off x="8790709" y="0"/>
          <a:ext cx="1150800" cy="806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lt1"/>
              </a:solidFill>
              <a:effectLst/>
              <a:latin typeface="+mn-lt"/>
              <a:ea typeface="+mn-ea"/>
              <a:cs typeface="+mn-cs"/>
            </a:rPr>
            <a:t>Data as of:</a:t>
          </a:r>
          <a:endParaRPr lang="en-US">
            <a:effectLst/>
          </a:endParaRPr>
        </a:p>
        <a:p>
          <a:pPr algn="ctr"/>
          <a:r>
            <a:rPr lang="en-US" sz="1100" b="1">
              <a:solidFill>
                <a:schemeClr val="lt1"/>
              </a:solidFill>
              <a:effectLst/>
              <a:latin typeface="+mn-lt"/>
              <a:ea typeface="+mn-ea"/>
              <a:cs typeface="+mn-cs"/>
            </a:rPr>
            <a:t>Dec 24, 2025</a:t>
          </a:r>
          <a:endParaRPr lang="en-US">
            <a:effectLst/>
          </a:endParaRPr>
        </a:p>
      </xdr:txBody>
    </xdr:sp>
    <xdr:clientData/>
  </xdr:twoCellAnchor>
  <xdr:twoCellAnchor>
    <xdr:from>
      <xdr:col>1</xdr:col>
      <xdr:colOff>0</xdr:colOff>
      <xdr:row>4</xdr:row>
      <xdr:rowOff>0</xdr:rowOff>
    </xdr:from>
    <xdr:to>
      <xdr:col>15</xdr:col>
      <xdr:colOff>557350</xdr:colOff>
      <xdr:row>7</xdr:row>
      <xdr:rowOff>142200</xdr:rowOff>
    </xdr:to>
    <xdr:grpSp>
      <xdr:nvGrpSpPr>
        <xdr:cNvPr id="3" name="Group 2"/>
        <xdr:cNvGrpSpPr/>
      </xdr:nvGrpSpPr>
      <xdr:grpSpPr>
        <a:xfrm>
          <a:off x="960120" y="1584960"/>
          <a:ext cx="9091750" cy="828000"/>
          <a:chOff x="0" y="914400"/>
          <a:chExt cx="9091750" cy="828000"/>
        </a:xfrm>
      </xdr:grpSpPr>
      <xdr:sp macro="" textlink="">
        <xdr:nvSpPr>
          <xdr:cNvPr id="8" name="Rounded Rectangle 7"/>
          <xdr:cNvSpPr/>
        </xdr:nvSpPr>
        <xdr:spPr>
          <a:xfrm>
            <a:off x="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ounded Rectangle 19"/>
          <xdr:cNvSpPr/>
        </xdr:nvSpPr>
        <xdr:spPr>
          <a:xfrm>
            <a:off x="153035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ounded Rectangle 20"/>
          <xdr:cNvSpPr/>
        </xdr:nvSpPr>
        <xdr:spPr>
          <a:xfrm>
            <a:off x="306070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ounded Rectangle 21"/>
          <xdr:cNvSpPr/>
        </xdr:nvSpPr>
        <xdr:spPr>
          <a:xfrm>
            <a:off x="459105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ounded Rectangle 22"/>
          <xdr:cNvSpPr/>
        </xdr:nvSpPr>
        <xdr:spPr>
          <a:xfrm>
            <a:off x="612140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ounded Rectangle 23"/>
          <xdr:cNvSpPr/>
        </xdr:nvSpPr>
        <xdr:spPr>
          <a:xfrm>
            <a:off x="7651750" y="914400"/>
            <a:ext cx="1440000" cy="828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0</xdr:colOff>
      <xdr:row>8</xdr:row>
      <xdr:rowOff>0</xdr:rowOff>
    </xdr:from>
    <xdr:to>
      <xdr:col>5</xdr:col>
      <xdr:colOff>537841</xdr:colOff>
      <xdr:row>15</xdr:row>
      <xdr:rowOff>199800</xdr:rowOff>
    </xdr:to>
    <xdr:sp macro="" textlink="">
      <xdr:nvSpPr>
        <xdr:cNvPr id="25" name="Rounded Rectangle 24"/>
        <xdr:cNvSpPr/>
      </xdr:nvSpPr>
      <xdr:spPr>
        <a:xfrm>
          <a:off x="960120" y="1828800"/>
          <a:ext cx="2976241"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6045</xdr:colOff>
      <xdr:row>8</xdr:row>
      <xdr:rowOff>28800</xdr:rowOff>
    </xdr:from>
    <xdr:to>
      <xdr:col>10</xdr:col>
      <xdr:colOff>543536</xdr:colOff>
      <xdr:row>16</xdr:row>
      <xdr:rowOff>0</xdr:rowOff>
    </xdr:to>
    <xdr:sp macro="" textlink="">
      <xdr:nvSpPr>
        <xdr:cNvPr id="29" name="Rounded Rectangle 28"/>
        <xdr:cNvSpPr/>
      </xdr:nvSpPr>
      <xdr:spPr>
        <a:xfrm>
          <a:off x="4014165" y="1857600"/>
          <a:ext cx="2975891"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12090</xdr:colOff>
      <xdr:row>8</xdr:row>
      <xdr:rowOff>25400</xdr:rowOff>
    </xdr:from>
    <xdr:to>
      <xdr:col>15</xdr:col>
      <xdr:colOff>559200</xdr:colOff>
      <xdr:row>15</xdr:row>
      <xdr:rowOff>225200</xdr:rowOff>
    </xdr:to>
    <xdr:sp macro="" textlink="">
      <xdr:nvSpPr>
        <xdr:cNvPr id="30" name="Rounded Rectangle 29"/>
        <xdr:cNvSpPr/>
      </xdr:nvSpPr>
      <xdr:spPr>
        <a:xfrm>
          <a:off x="7068210" y="1854200"/>
          <a:ext cx="2985510"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16</xdr:row>
      <xdr:rowOff>92300</xdr:rowOff>
    </xdr:from>
    <xdr:to>
      <xdr:col>5</xdr:col>
      <xdr:colOff>537841</xdr:colOff>
      <xdr:row>24</xdr:row>
      <xdr:rowOff>63500</xdr:rowOff>
    </xdr:to>
    <xdr:sp macro="" textlink="">
      <xdr:nvSpPr>
        <xdr:cNvPr id="32" name="Rounded Rectangle 31"/>
        <xdr:cNvSpPr/>
      </xdr:nvSpPr>
      <xdr:spPr>
        <a:xfrm>
          <a:off x="960120" y="3749900"/>
          <a:ext cx="2976241"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6045</xdr:colOff>
      <xdr:row>16</xdr:row>
      <xdr:rowOff>121100</xdr:rowOff>
    </xdr:from>
    <xdr:to>
      <xdr:col>10</xdr:col>
      <xdr:colOff>543536</xdr:colOff>
      <xdr:row>24</xdr:row>
      <xdr:rowOff>92300</xdr:rowOff>
    </xdr:to>
    <xdr:sp macro="" textlink="">
      <xdr:nvSpPr>
        <xdr:cNvPr id="33" name="Rounded Rectangle 32"/>
        <xdr:cNvSpPr/>
      </xdr:nvSpPr>
      <xdr:spPr>
        <a:xfrm>
          <a:off x="4014165" y="3778700"/>
          <a:ext cx="2975891"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12090</xdr:colOff>
      <xdr:row>16</xdr:row>
      <xdr:rowOff>117700</xdr:rowOff>
    </xdr:from>
    <xdr:to>
      <xdr:col>15</xdr:col>
      <xdr:colOff>559200</xdr:colOff>
      <xdr:row>24</xdr:row>
      <xdr:rowOff>88900</xdr:rowOff>
    </xdr:to>
    <xdr:sp macro="" textlink="">
      <xdr:nvSpPr>
        <xdr:cNvPr id="34" name="Rounded Rectangle 33"/>
        <xdr:cNvSpPr/>
      </xdr:nvSpPr>
      <xdr:spPr>
        <a:xfrm>
          <a:off x="7068210" y="3775300"/>
          <a:ext cx="2985510" cy="18000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7619</xdr:colOff>
      <xdr:row>4</xdr:row>
      <xdr:rowOff>83131</xdr:rowOff>
    </xdr:from>
    <xdr:to>
      <xdr:col>3</xdr:col>
      <xdr:colOff>220980</xdr:colOff>
      <xdr:row>5</xdr:row>
      <xdr:rowOff>145477</xdr:rowOff>
    </xdr:to>
    <xdr:sp macro="" textlink="">
      <xdr:nvSpPr>
        <xdr:cNvPr id="2" name="TextBox 1"/>
        <xdr:cNvSpPr txBox="1"/>
      </xdr:nvSpPr>
      <xdr:spPr>
        <a:xfrm>
          <a:off x="970510" y="1669476"/>
          <a:ext cx="1432561"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solidFill>
                <a:srgbClr val="064219"/>
              </a:solidFill>
            </a:rPr>
            <a:t>Total Expenses</a:t>
          </a:r>
        </a:p>
      </xdr:txBody>
    </xdr:sp>
    <xdr:clientData/>
  </xdr:twoCellAnchor>
  <xdr:twoCellAnchor editAs="absolute">
    <xdr:from>
      <xdr:col>0</xdr:col>
      <xdr:colOff>958732</xdr:colOff>
      <xdr:row>5</xdr:row>
      <xdr:rowOff>96986</xdr:rowOff>
    </xdr:from>
    <xdr:to>
      <xdr:col>3</xdr:col>
      <xdr:colOff>220980</xdr:colOff>
      <xdr:row>6</xdr:row>
      <xdr:rowOff>159332</xdr:rowOff>
    </xdr:to>
    <xdr:sp macro="" textlink="Pivot!J9">
      <xdr:nvSpPr>
        <xdr:cNvPr id="27" name="TextBox 26"/>
        <xdr:cNvSpPr txBox="1"/>
      </xdr:nvSpPr>
      <xdr:spPr>
        <a:xfrm>
          <a:off x="958732" y="1911931"/>
          <a:ext cx="1444339"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CB38E120-2E8B-42EF-A29E-04590A6BDB77}" type="TxLink">
            <a:rPr lang="en-US" sz="1800" b="1" i="0" u="none" strike="noStrike">
              <a:solidFill>
                <a:srgbClr val="064219"/>
              </a:solidFill>
              <a:latin typeface="Calibri"/>
              <a:ea typeface="Calibri"/>
              <a:cs typeface="Calibri"/>
            </a:rPr>
            <a:pPr marL="0" indent="0" algn="ctr"/>
            <a:t>7,667K</a:t>
          </a:fld>
          <a:endParaRPr lang="en-US" sz="1800" b="1" i="0" u="none" strike="noStrike">
            <a:solidFill>
              <a:srgbClr val="064219"/>
            </a:solidFill>
            <a:latin typeface="Calibri"/>
            <a:ea typeface="Calibri"/>
            <a:cs typeface="Calibri"/>
          </a:endParaRPr>
        </a:p>
      </xdr:txBody>
    </xdr:sp>
    <xdr:clientData/>
  </xdr:twoCellAnchor>
  <xdr:twoCellAnchor editAs="absolute">
    <xdr:from>
      <xdr:col>3</xdr:col>
      <xdr:colOff>320731</xdr:colOff>
      <xdr:row>4</xdr:row>
      <xdr:rowOff>83131</xdr:rowOff>
    </xdr:from>
    <xdr:to>
      <xdr:col>5</xdr:col>
      <xdr:colOff>533400</xdr:colOff>
      <xdr:row>5</xdr:row>
      <xdr:rowOff>145477</xdr:rowOff>
    </xdr:to>
    <xdr:sp macro="" textlink="">
      <xdr:nvSpPr>
        <xdr:cNvPr id="43" name="TextBox 42"/>
        <xdr:cNvSpPr txBox="1"/>
      </xdr:nvSpPr>
      <xdr:spPr>
        <a:xfrm>
          <a:off x="2502822" y="1669476"/>
          <a:ext cx="1431869"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64219"/>
              </a:solidFill>
              <a:effectLst/>
              <a:latin typeface="+mn-lt"/>
              <a:ea typeface="+mn-ea"/>
              <a:cs typeface="+mn-cs"/>
            </a:rPr>
            <a:t>Budget Allocated</a:t>
          </a:r>
          <a:endParaRPr lang="en-US">
            <a:solidFill>
              <a:srgbClr val="064219"/>
            </a:solidFill>
            <a:effectLst/>
          </a:endParaRPr>
        </a:p>
      </xdr:txBody>
    </xdr:sp>
    <xdr:clientData/>
  </xdr:twoCellAnchor>
  <xdr:twoCellAnchor editAs="absolute">
    <xdr:from>
      <xdr:col>3</xdr:col>
      <xdr:colOff>314496</xdr:colOff>
      <xdr:row>5</xdr:row>
      <xdr:rowOff>96986</xdr:rowOff>
    </xdr:from>
    <xdr:to>
      <xdr:col>5</xdr:col>
      <xdr:colOff>533400</xdr:colOff>
      <xdr:row>6</xdr:row>
      <xdr:rowOff>159332</xdr:rowOff>
    </xdr:to>
    <xdr:sp macro="" textlink="Pivot!K9">
      <xdr:nvSpPr>
        <xdr:cNvPr id="44" name="TextBox 43"/>
        <xdr:cNvSpPr txBox="1"/>
      </xdr:nvSpPr>
      <xdr:spPr>
        <a:xfrm>
          <a:off x="2496587" y="1911931"/>
          <a:ext cx="1438104"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1988857B-910A-4E20-9362-00EFE1D66938}" type="TxLink">
            <a:rPr lang="en-US" sz="1800" b="1" i="0" u="none" strike="noStrike">
              <a:solidFill>
                <a:srgbClr val="064219"/>
              </a:solidFill>
              <a:latin typeface="Calibri"/>
              <a:ea typeface="Calibri"/>
              <a:cs typeface="Calibri"/>
            </a:rPr>
            <a:pPr marL="0" indent="0" algn="ctr"/>
            <a:t>12,267K</a:t>
          </a:fld>
          <a:endParaRPr lang="en-US" sz="1800" b="1" i="0" u="none" strike="noStrike">
            <a:solidFill>
              <a:srgbClr val="064219"/>
            </a:solidFill>
            <a:latin typeface="Calibri"/>
            <a:ea typeface="Calibri"/>
            <a:cs typeface="Calibri"/>
          </a:endParaRPr>
        </a:p>
      </xdr:txBody>
    </xdr:sp>
    <xdr:clientData/>
  </xdr:twoCellAnchor>
  <xdr:twoCellAnchor editAs="absolute">
    <xdr:from>
      <xdr:col>6</xdr:col>
      <xdr:colOff>24936</xdr:colOff>
      <xdr:row>4</xdr:row>
      <xdr:rowOff>83131</xdr:rowOff>
    </xdr:from>
    <xdr:to>
      <xdr:col>8</xdr:col>
      <xdr:colOff>243840</xdr:colOff>
      <xdr:row>5</xdr:row>
      <xdr:rowOff>145477</xdr:rowOff>
    </xdr:to>
    <xdr:sp macro="" textlink="">
      <xdr:nvSpPr>
        <xdr:cNvPr id="45" name="TextBox 44"/>
        <xdr:cNvSpPr txBox="1"/>
      </xdr:nvSpPr>
      <xdr:spPr>
        <a:xfrm>
          <a:off x="4035827" y="1669476"/>
          <a:ext cx="1438104"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solidFill>
                <a:srgbClr val="064219"/>
              </a:solidFill>
              <a:effectLst/>
              <a:latin typeface="+mn-lt"/>
              <a:ea typeface="+mn-ea"/>
              <a:cs typeface="+mn-cs"/>
            </a:rPr>
            <a:t>Budget Remaining</a:t>
          </a:r>
          <a:endParaRPr lang="en-US">
            <a:solidFill>
              <a:srgbClr val="064219"/>
            </a:solidFill>
            <a:effectLst/>
          </a:endParaRPr>
        </a:p>
      </xdr:txBody>
    </xdr:sp>
    <xdr:clientData/>
  </xdr:twoCellAnchor>
  <xdr:twoCellAnchor editAs="absolute">
    <xdr:from>
      <xdr:col>6</xdr:col>
      <xdr:colOff>14543</xdr:colOff>
      <xdr:row>5</xdr:row>
      <xdr:rowOff>96986</xdr:rowOff>
    </xdr:from>
    <xdr:to>
      <xdr:col>8</xdr:col>
      <xdr:colOff>236220</xdr:colOff>
      <xdr:row>6</xdr:row>
      <xdr:rowOff>159332</xdr:rowOff>
    </xdr:to>
    <xdr:sp macro="" textlink="Pivot!L9">
      <xdr:nvSpPr>
        <xdr:cNvPr id="46" name="TextBox 45"/>
        <xdr:cNvSpPr txBox="1"/>
      </xdr:nvSpPr>
      <xdr:spPr>
        <a:xfrm>
          <a:off x="4025434" y="1911931"/>
          <a:ext cx="1440877"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779B0E3C-1EAA-41FD-8A88-BFDECF6B04A5}" type="TxLink">
            <a:rPr lang="en-US" sz="1800" b="1" i="0" u="none" strike="noStrike">
              <a:solidFill>
                <a:srgbClr val="064219"/>
              </a:solidFill>
              <a:latin typeface="Calibri"/>
              <a:ea typeface="Calibri"/>
              <a:cs typeface="Calibri"/>
            </a:rPr>
            <a:pPr marL="0" indent="0" algn="ctr"/>
            <a:t>4,600K</a:t>
          </a:fld>
          <a:endParaRPr lang="en-US" sz="1800" b="1" i="0" u="none" strike="noStrike">
            <a:solidFill>
              <a:srgbClr val="064219"/>
            </a:solidFill>
            <a:latin typeface="Calibri"/>
            <a:ea typeface="Calibri"/>
            <a:cs typeface="Calibri"/>
          </a:endParaRPr>
        </a:p>
      </xdr:txBody>
    </xdr:sp>
    <xdr:clientData/>
  </xdr:twoCellAnchor>
  <xdr:twoCellAnchor editAs="absolute">
    <xdr:from>
      <xdr:col>8</xdr:col>
      <xdr:colOff>346364</xdr:colOff>
      <xdr:row>4</xdr:row>
      <xdr:rowOff>83131</xdr:rowOff>
    </xdr:from>
    <xdr:to>
      <xdr:col>10</xdr:col>
      <xdr:colOff>533400</xdr:colOff>
      <xdr:row>5</xdr:row>
      <xdr:rowOff>145477</xdr:rowOff>
    </xdr:to>
    <xdr:sp macro="" textlink="">
      <xdr:nvSpPr>
        <xdr:cNvPr id="47" name="TextBox 46"/>
        <xdr:cNvSpPr txBox="1"/>
      </xdr:nvSpPr>
      <xdr:spPr>
        <a:xfrm>
          <a:off x="5576455" y="1669476"/>
          <a:ext cx="1406236"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solidFill>
                <a:srgbClr val="064219"/>
              </a:solidFill>
              <a:effectLst/>
              <a:latin typeface="+mn-lt"/>
              <a:ea typeface="+mn-ea"/>
              <a:cs typeface="+mn-cs"/>
            </a:rPr>
            <a:t>Total Transactions</a:t>
          </a:r>
        </a:p>
      </xdr:txBody>
    </xdr:sp>
    <xdr:clientData/>
  </xdr:twoCellAnchor>
  <xdr:twoCellAnchor editAs="absolute">
    <xdr:from>
      <xdr:col>8</xdr:col>
      <xdr:colOff>335280</xdr:colOff>
      <xdr:row>5</xdr:row>
      <xdr:rowOff>96986</xdr:rowOff>
    </xdr:from>
    <xdr:to>
      <xdr:col>10</xdr:col>
      <xdr:colOff>541019</xdr:colOff>
      <xdr:row>6</xdr:row>
      <xdr:rowOff>159332</xdr:rowOff>
    </xdr:to>
    <xdr:sp macro="" textlink="Pivot!M9">
      <xdr:nvSpPr>
        <xdr:cNvPr id="48" name="TextBox 47"/>
        <xdr:cNvSpPr txBox="1"/>
      </xdr:nvSpPr>
      <xdr:spPr>
        <a:xfrm>
          <a:off x="5565371" y="1911931"/>
          <a:ext cx="1424939"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7BFC774C-D04A-4FB2-9E2F-CEE558C16BD5}" type="TxLink">
            <a:rPr lang="en-US" sz="1800" b="1" i="0" u="none" strike="noStrike">
              <a:solidFill>
                <a:srgbClr val="064219"/>
              </a:solidFill>
              <a:latin typeface="Calibri"/>
              <a:ea typeface="Calibri"/>
              <a:cs typeface="Calibri"/>
            </a:rPr>
            <a:pPr marL="0" indent="0" algn="ctr"/>
            <a:t>60</a:t>
          </a:fld>
          <a:endParaRPr lang="en-US" sz="1800" b="1" i="0" u="none" strike="noStrike">
            <a:solidFill>
              <a:srgbClr val="064219"/>
            </a:solidFill>
            <a:latin typeface="Calibri"/>
            <a:ea typeface="Calibri"/>
            <a:cs typeface="Calibri"/>
          </a:endParaRPr>
        </a:p>
      </xdr:txBody>
    </xdr:sp>
    <xdr:clientData/>
  </xdr:twoCellAnchor>
  <xdr:twoCellAnchor editAs="absolute">
    <xdr:from>
      <xdr:col>11</xdr:col>
      <xdr:colOff>22860</xdr:colOff>
      <xdr:row>4</xdr:row>
      <xdr:rowOff>83131</xdr:rowOff>
    </xdr:from>
    <xdr:to>
      <xdr:col>13</xdr:col>
      <xdr:colOff>236220</xdr:colOff>
      <xdr:row>5</xdr:row>
      <xdr:rowOff>145477</xdr:rowOff>
    </xdr:to>
    <xdr:sp macro="" textlink="">
      <xdr:nvSpPr>
        <xdr:cNvPr id="49" name="TextBox 48"/>
        <xdr:cNvSpPr txBox="1"/>
      </xdr:nvSpPr>
      <xdr:spPr>
        <a:xfrm>
          <a:off x="7081751" y="1669476"/>
          <a:ext cx="1432560"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solidFill>
                <a:srgbClr val="064219"/>
              </a:solidFill>
              <a:effectLst/>
              <a:latin typeface="+mn-lt"/>
              <a:ea typeface="+mn-ea"/>
              <a:cs typeface="+mn-cs"/>
            </a:rPr>
            <a:t>Approval</a:t>
          </a:r>
          <a:r>
            <a:rPr lang="en-US" sz="1100" b="1">
              <a:solidFill>
                <a:schemeClr val="dk1"/>
              </a:solidFill>
              <a:effectLst/>
              <a:latin typeface="+mn-lt"/>
              <a:ea typeface="+mn-ea"/>
              <a:cs typeface="+mn-cs"/>
            </a:rPr>
            <a:t> Rate</a:t>
          </a:r>
          <a:endParaRPr lang="en-US">
            <a:effectLst/>
          </a:endParaRPr>
        </a:p>
      </xdr:txBody>
    </xdr:sp>
    <xdr:clientData/>
  </xdr:twoCellAnchor>
  <xdr:twoCellAnchor editAs="absolute">
    <xdr:from>
      <xdr:col>11</xdr:col>
      <xdr:colOff>21469</xdr:colOff>
      <xdr:row>5</xdr:row>
      <xdr:rowOff>96986</xdr:rowOff>
    </xdr:from>
    <xdr:to>
      <xdr:col>13</xdr:col>
      <xdr:colOff>251460</xdr:colOff>
      <xdr:row>6</xdr:row>
      <xdr:rowOff>159332</xdr:rowOff>
    </xdr:to>
    <xdr:sp macro="" textlink="Pivot!K20">
      <xdr:nvSpPr>
        <xdr:cNvPr id="50" name="TextBox 49"/>
        <xdr:cNvSpPr txBox="1"/>
      </xdr:nvSpPr>
      <xdr:spPr>
        <a:xfrm>
          <a:off x="7080360" y="1911931"/>
          <a:ext cx="1449191"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D0108C14-B8D8-48E8-B2EF-FA7AB092EC6F}" type="TxLink">
            <a:rPr lang="en-US" sz="1800" b="1" i="0" u="none" strike="noStrike">
              <a:solidFill>
                <a:srgbClr val="064219"/>
              </a:solidFill>
              <a:latin typeface="Calibri"/>
              <a:ea typeface="Calibri"/>
              <a:cs typeface="Calibri"/>
            </a:rPr>
            <a:pPr marL="0" indent="0" algn="ctr"/>
            <a:t>60%</a:t>
          </a:fld>
          <a:endParaRPr lang="en-US" sz="1800" b="1" i="0" u="none" strike="noStrike">
            <a:solidFill>
              <a:srgbClr val="064219"/>
            </a:solidFill>
            <a:latin typeface="Calibri"/>
            <a:ea typeface="Calibri"/>
            <a:cs typeface="Calibri"/>
          </a:endParaRPr>
        </a:p>
      </xdr:txBody>
    </xdr:sp>
    <xdr:clientData/>
  </xdr:twoCellAnchor>
  <xdr:twoCellAnchor editAs="absolute">
    <xdr:from>
      <xdr:col>13</xdr:col>
      <xdr:colOff>335280</xdr:colOff>
      <xdr:row>4</xdr:row>
      <xdr:rowOff>83131</xdr:rowOff>
    </xdr:from>
    <xdr:to>
      <xdr:col>15</xdr:col>
      <xdr:colOff>556260</xdr:colOff>
      <xdr:row>5</xdr:row>
      <xdr:rowOff>145477</xdr:rowOff>
    </xdr:to>
    <xdr:sp macro="" textlink="">
      <xdr:nvSpPr>
        <xdr:cNvPr id="51" name="TextBox 50"/>
        <xdr:cNvSpPr txBox="1"/>
      </xdr:nvSpPr>
      <xdr:spPr>
        <a:xfrm>
          <a:off x="8613371" y="1669476"/>
          <a:ext cx="1440180"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a:solidFill>
                <a:srgbClr val="064219"/>
              </a:solidFill>
            </a:rPr>
            <a:t>Avg Expenses</a:t>
          </a:r>
        </a:p>
      </xdr:txBody>
    </xdr:sp>
    <xdr:clientData/>
  </xdr:twoCellAnchor>
  <xdr:twoCellAnchor editAs="absolute">
    <xdr:from>
      <xdr:col>13</xdr:col>
      <xdr:colOff>342900</xdr:colOff>
      <xdr:row>5</xdr:row>
      <xdr:rowOff>96986</xdr:rowOff>
    </xdr:from>
    <xdr:to>
      <xdr:col>15</xdr:col>
      <xdr:colOff>556259</xdr:colOff>
      <xdr:row>6</xdr:row>
      <xdr:rowOff>159332</xdr:rowOff>
    </xdr:to>
    <xdr:sp macro="" textlink="Pivot!K21">
      <xdr:nvSpPr>
        <xdr:cNvPr id="52" name="TextBox 51"/>
        <xdr:cNvSpPr txBox="1"/>
      </xdr:nvSpPr>
      <xdr:spPr>
        <a:xfrm>
          <a:off x="8620991" y="1911931"/>
          <a:ext cx="1432559"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AD6D73D1-6559-4E74-B8F2-5D1E7E9A2CEF}" type="TxLink">
            <a:rPr lang="en-US" sz="1800" b="1" i="0" u="none" strike="noStrike">
              <a:solidFill>
                <a:srgbClr val="064219"/>
              </a:solidFill>
              <a:latin typeface="Calibri"/>
              <a:ea typeface="Calibri"/>
              <a:cs typeface="Calibri"/>
            </a:rPr>
            <a:pPr marL="0" indent="0" algn="ctr"/>
            <a:t>128K</a:t>
          </a:fld>
          <a:endParaRPr lang="en-US" sz="1800" b="1" i="0" u="none" strike="noStrike">
            <a:solidFill>
              <a:srgbClr val="064219"/>
            </a:solidFill>
            <a:latin typeface="Calibri"/>
            <a:ea typeface="Calibri"/>
            <a:cs typeface="Calibri"/>
          </a:endParaRPr>
        </a:p>
      </xdr:txBody>
    </xdr:sp>
    <xdr:clientData/>
  </xdr:twoCellAnchor>
  <xdr:twoCellAnchor editAs="absolute">
    <xdr:from>
      <xdr:col>1</xdr:col>
      <xdr:colOff>0</xdr:colOff>
      <xdr:row>7</xdr:row>
      <xdr:rowOff>227215</xdr:rowOff>
    </xdr:from>
    <xdr:to>
      <xdr:col>5</xdr:col>
      <xdr:colOff>561108</xdr:colOff>
      <xdr:row>15</xdr:row>
      <xdr:rowOff>227215</xdr:rowOff>
    </xdr:to>
    <xdr:graphicFrame macro="">
      <xdr:nvGraphicFramePr>
        <xdr:cNvPr id="1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560228</xdr:colOff>
      <xdr:row>8</xdr:row>
      <xdr:rowOff>14944</xdr:rowOff>
    </xdr:from>
    <xdr:to>
      <xdr:col>10</xdr:col>
      <xdr:colOff>568035</xdr:colOff>
      <xdr:row>15</xdr:row>
      <xdr:rowOff>180109</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422564</xdr:colOff>
      <xdr:row>3</xdr:row>
      <xdr:rowOff>294927</xdr:rowOff>
    </xdr:from>
    <xdr:to>
      <xdr:col>13</xdr:col>
      <xdr:colOff>382837</xdr:colOff>
      <xdr:row>3</xdr:row>
      <xdr:rowOff>849327</xdr:rowOff>
    </xdr:to>
    <mc:AlternateContent xmlns:mc="http://schemas.openxmlformats.org/markup-compatibility/2006" xmlns:a14="http://schemas.microsoft.com/office/drawing/2010/main">
      <mc:Choice Requires="a14">
        <xdr:graphicFrame macro="">
          <xdr:nvGraphicFramePr>
            <xdr:cNvPr id="11"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430684" y="980727"/>
              <a:ext cx="4227473" cy="55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216428</xdr:rowOff>
    </xdr:from>
    <xdr:to>
      <xdr:col>0</xdr:col>
      <xdr:colOff>885600</xdr:colOff>
      <xdr:row>24</xdr:row>
      <xdr:rowOff>83127</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315988"/>
              <a:ext cx="885600" cy="1924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3</xdr:row>
      <xdr:rowOff>293025</xdr:rowOff>
    </xdr:from>
    <xdr:to>
      <xdr:col>0</xdr:col>
      <xdr:colOff>886690</xdr:colOff>
      <xdr:row>15</xdr:row>
      <xdr:rowOff>117071</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978825"/>
              <a:ext cx="886690" cy="3237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16</xdr:row>
      <xdr:rowOff>41564</xdr:rowOff>
    </xdr:from>
    <xdr:to>
      <xdr:col>5</xdr:col>
      <xdr:colOff>561109</xdr:colOff>
      <xdr:row>24</xdr:row>
      <xdr:rowOff>96982</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594863</xdr:colOff>
      <xdr:row>16</xdr:row>
      <xdr:rowOff>58755</xdr:rowOff>
    </xdr:from>
    <xdr:to>
      <xdr:col>10</xdr:col>
      <xdr:colOff>540326</xdr:colOff>
      <xdr:row>24</xdr:row>
      <xdr:rowOff>117764</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5163</xdr:colOff>
      <xdr:row>16</xdr:row>
      <xdr:rowOff>83126</xdr:rowOff>
    </xdr:from>
    <xdr:to>
      <xdr:col>15</xdr:col>
      <xdr:colOff>595745</xdr:colOff>
      <xdr:row>23</xdr:row>
      <xdr:rowOff>228599</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12090</xdr:colOff>
      <xdr:row>8</xdr:row>
      <xdr:rowOff>25400</xdr:rowOff>
    </xdr:from>
    <xdr:to>
      <xdr:col>15</xdr:col>
      <xdr:colOff>540327</xdr:colOff>
      <xdr:row>16</xdr:row>
      <xdr:rowOff>6927</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6930</xdr:colOff>
      <xdr:row>3</xdr:row>
      <xdr:rowOff>285109</xdr:rowOff>
    </xdr:from>
    <xdr:to>
      <xdr:col>6</xdr:col>
      <xdr:colOff>355961</xdr:colOff>
      <xdr:row>3</xdr:row>
      <xdr:rowOff>839509</xdr:rowOff>
    </xdr:to>
    <mc:AlternateContent xmlns:mc="http://schemas.openxmlformats.org/markup-compatibility/2006" xmlns:a14="http://schemas.microsoft.com/office/drawing/2010/main">
      <mc:Choice Requires="a14">
        <xdr:graphicFrame macro="">
          <xdr:nvGraphicFramePr>
            <xdr:cNvPr id="39"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67050" y="970909"/>
              <a:ext cx="3397031" cy="55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484909</xdr:colOff>
      <xdr:row>3</xdr:row>
      <xdr:rowOff>286783</xdr:rowOff>
    </xdr:from>
    <xdr:to>
      <xdr:col>15</xdr:col>
      <xdr:colOff>495300</xdr:colOff>
      <xdr:row>3</xdr:row>
      <xdr:rowOff>839355</xdr:rowOff>
    </xdr:to>
    <mc:AlternateContent xmlns:mc="http://schemas.openxmlformats.org/markup-compatibility/2006" xmlns:a14="http://schemas.microsoft.com/office/drawing/2010/main">
      <mc:Choice Requires="a14">
        <xdr:graphicFrame macro="">
          <xdr:nvGraphicFramePr>
            <xdr:cNvPr id="40" name="Approved"/>
            <xdr:cNvGraphicFramePr/>
          </xdr:nvGraphicFramePr>
          <xdr:xfrm>
            <a:off x="0" y="0"/>
            <a:ext cx="0" cy="0"/>
          </xdr:xfrm>
          <a:graphic>
            <a:graphicData uri="http://schemas.microsoft.com/office/drawing/2010/slicer">
              <sle:slicer xmlns:sle="http://schemas.microsoft.com/office/drawing/2010/slicer" name="Approved"/>
            </a:graphicData>
          </a:graphic>
        </xdr:graphicFrame>
      </mc:Choice>
      <mc:Fallback xmlns="">
        <xdr:sp macro="" textlink="">
          <xdr:nvSpPr>
            <xdr:cNvPr id="0" name=""/>
            <xdr:cNvSpPr>
              <a:spLocks noTextEdit="1"/>
            </xdr:cNvSpPr>
          </xdr:nvSpPr>
          <xdr:spPr>
            <a:xfrm>
              <a:off x="8760229" y="972583"/>
              <a:ext cx="1229591" cy="552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hman" refreshedDate="46188.718457407405" createdVersion="5" refreshedVersion="5" minRefreshableVersion="3" recordCount="60">
  <cacheSource type="worksheet">
    <worksheetSource name="Table2"/>
  </cacheSource>
  <cacheFields count="10">
    <cacheField name="Expense ID" numFmtId="0">
      <sharedItems count="60">
        <s v="EXP1002"/>
        <s v="EXP1003"/>
        <s v="EXP1004"/>
        <s v="EXP1005"/>
        <s v="EXP1006"/>
        <s v="EXP1007"/>
        <s v="EXP1008"/>
        <s v="EXP1009"/>
        <s v="EXP1010"/>
        <s v="EXP1011"/>
        <s v="EXP1012"/>
        <s v="EXP1013"/>
        <s v="EXP1014"/>
        <s v="EXP1015"/>
        <s v="EXP1016"/>
        <s v="EXP1017"/>
        <s v="EXP1018"/>
        <s v="EXP1019"/>
        <s v="EXP1020"/>
        <s v="EXP1021"/>
        <s v="EXP1022"/>
        <s v="EXP1023"/>
        <s v="EXP1024"/>
        <s v="EXP1025"/>
        <s v="EXP1026"/>
        <s v="EXP1027"/>
        <s v="EXP1028"/>
        <s v="EXP1029"/>
        <s v="EXP1030"/>
        <s v="EXP1031"/>
        <s v="EXP1032"/>
        <s v="EXP1033"/>
        <s v="EXP1034"/>
        <s v="EXP1035"/>
        <s v="EXP1036"/>
        <s v="EXP1037"/>
        <s v="EXP1038"/>
        <s v="EXP1039"/>
        <s v="EXP1040"/>
        <s v="EXP1041"/>
        <s v="EXP1042"/>
        <s v="EXP1043"/>
        <s v="EXP1044"/>
        <s v="EXP1045"/>
        <s v="EXP1046"/>
        <s v="EXP1047"/>
        <s v="EXP1048"/>
        <s v="EXP1049"/>
        <s v="EXP1050"/>
        <s v="EXP1051"/>
        <s v="EXP1052"/>
        <s v="EXP1053"/>
        <s v="EXP1054"/>
        <s v="EXP1055"/>
        <s v="EXP1056"/>
        <s v="EXP1057"/>
        <s v="EXP1058"/>
        <s v="EXP1059"/>
        <s v="EXP1060"/>
        <s v="EXP1061"/>
      </sharedItems>
    </cacheField>
    <cacheField name="Date" numFmtId="164">
      <sharedItems containsSemiMixedTypes="0" containsNonDate="0" containsDate="1" containsString="0" minDate="2025-01-01T00:00:00" maxDate="2025-12-25T00:00:00"/>
    </cacheField>
    <cacheField name="Department" numFmtId="0">
      <sharedItems count="6">
        <s v="Operations"/>
        <s v="IT"/>
        <s v="Sales"/>
        <s v="HR"/>
        <s v="Finance"/>
        <s v="Marketing"/>
      </sharedItems>
    </cacheField>
    <cacheField name="Category" numFmtId="0">
      <sharedItems count="6">
        <s v="Training"/>
        <s v="Utilities"/>
        <s v="Software"/>
        <s v="Office Supplies"/>
        <s v="Travel"/>
        <s v="Equipment"/>
      </sharedItems>
    </cacheField>
    <cacheField name="Amount (INR)" numFmtId="165">
      <sharedItems containsSemiMixedTypes="0" containsString="0" containsNumber="1" containsInteger="1" minValue="10850" maxValue="245828"/>
    </cacheField>
    <cacheField name="Payment Method" numFmtId="0">
      <sharedItems count="4">
        <s v="Bank Transfer"/>
        <s v="Credit Card"/>
        <s v="Cash"/>
        <s v="UPI"/>
      </sharedItems>
    </cacheField>
    <cacheField name="Approved" numFmtId="0">
      <sharedItems count="2">
        <s v="Yes"/>
        <s v="No"/>
      </sharedItems>
    </cacheField>
    <cacheField name="Budget Allocated" numFmtId="0">
      <sharedItems containsSemiMixedTypes="0" containsString="0" containsNumber="1" containsInteger="1" minValue="36142" maxValue="391507"/>
    </cacheField>
    <cacheField name="Budget Remaining" numFmtId="165">
      <sharedItems containsSemiMixedTypes="0" containsString="0" containsNumber="1" containsInteger="1" minValue="13868" maxValue="149029"/>
    </cacheField>
    <cacheField name="Month" numFmtId="0">
      <sharedItems count="12">
        <s v="Jan"/>
        <s v="Dec"/>
        <s v="Feb"/>
        <s v="Apr"/>
        <s v="Nov"/>
        <s v="Oct"/>
        <s v="Jul"/>
        <s v="Mar"/>
        <s v="Sep"/>
        <s v="Jun"/>
        <s v="May"/>
        <s v="Au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d v="2025-01-13T00:00:00"/>
    <x v="0"/>
    <x v="0"/>
    <n v="177621"/>
    <x v="0"/>
    <x v="0"/>
    <n v="216805"/>
    <n v="39184"/>
    <x v="0"/>
  </r>
  <r>
    <x v="1"/>
    <d v="2025-12-13T00:00:00"/>
    <x v="0"/>
    <x v="1"/>
    <n v="46579"/>
    <x v="1"/>
    <x v="1"/>
    <n v="83447"/>
    <n v="36868"/>
    <x v="1"/>
  </r>
  <r>
    <x v="2"/>
    <d v="2025-02-17T00:00:00"/>
    <x v="1"/>
    <x v="2"/>
    <n v="18331"/>
    <x v="1"/>
    <x v="0"/>
    <n v="36142"/>
    <n v="17811"/>
    <x v="2"/>
  </r>
  <r>
    <x v="3"/>
    <d v="2025-04-23T00:00:00"/>
    <x v="2"/>
    <x v="1"/>
    <n v="197700"/>
    <x v="2"/>
    <x v="0"/>
    <n v="317674"/>
    <n v="119974"/>
    <x v="3"/>
  </r>
  <r>
    <x v="4"/>
    <d v="2025-12-24T00:00:00"/>
    <x v="2"/>
    <x v="0"/>
    <n v="208916"/>
    <x v="2"/>
    <x v="0"/>
    <n v="260769"/>
    <n v="51853"/>
    <x v="1"/>
  </r>
  <r>
    <x v="5"/>
    <d v="2025-02-22T00:00:00"/>
    <x v="3"/>
    <x v="3"/>
    <n v="66443"/>
    <x v="1"/>
    <x v="1"/>
    <n v="164679"/>
    <n v="98236"/>
    <x v="2"/>
  </r>
  <r>
    <x v="6"/>
    <d v="2025-11-06T00:00:00"/>
    <x v="4"/>
    <x v="4"/>
    <n v="232165"/>
    <x v="3"/>
    <x v="0"/>
    <n v="332330"/>
    <n v="100165"/>
    <x v="4"/>
  </r>
  <r>
    <x v="7"/>
    <d v="2025-10-10T00:00:00"/>
    <x v="4"/>
    <x v="5"/>
    <n v="109230"/>
    <x v="2"/>
    <x v="0"/>
    <n v="139886"/>
    <n v="30656"/>
    <x v="5"/>
  </r>
  <r>
    <x v="8"/>
    <d v="2025-01-24T00:00:00"/>
    <x v="0"/>
    <x v="2"/>
    <n v="194699"/>
    <x v="2"/>
    <x v="0"/>
    <n v="222932"/>
    <n v="28233"/>
    <x v="0"/>
  </r>
  <r>
    <x v="9"/>
    <d v="2025-02-21T00:00:00"/>
    <x v="2"/>
    <x v="0"/>
    <n v="234216"/>
    <x v="3"/>
    <x v="1"/>
    <n v="305240"/>
    <n v="71024"/>
    <x v="2"/>
  </r>
  <r>
    <x v="10"/>
    <d v="2025-07-01T00:00:00"/>
    <x v="1"/>
    <x v="5"/>
    <n v="52638"/>
    <x v="2"/>
    <x v="0"/>
    <n v="159678"/>
    <n v="107040"/>
    <x v="6"/>
  </r>
  <r>
    <x v="11"/>
    <d v="2025-10-01T00:00:00"/>
    <x v="0"/>
    <x v="2"/>
    <n v="169680"/>
    <x v="0"/>
    <x v="1"/>
    <n v="224542"/>
    <n v="54862"/>
    <x v="5"/>
  </r>
  <r>
    <x v="12"/>
    <d v="2025-11-24T00:00:00"/>
    <x v="0"/>
    <x v="1"/>
    <n v="109471"/>
    <x v="0"/>
    <x v="1"/>
    <n v="190236"/>
    <n v="80765"/>
    <x v="4"/>
  </r>
  <r>
    <x v="13"/>
    <d v="2025-04-28T00:00:00"/>
    <x v="3"/>
    <x v="0"/>
    <n v="230948"/>
    <x v="3"/>
    <x v="1"/>
    <n v="255611"/>
    <n v="24663"/>
    <x v="3"/>
  </r>
  <r>
    <x v="14"/>
    <d v="2025-10-18T00:00:00"/>
    <x v="0"/>
    <x v="0"/>
    <n v="27350"/>
    <x v="0"/>
    <x v="1"/>
    <n v="92657"/>
    <n v="65307"/>
    <x v="5"/>
  </r>
  <r>
    <x v="15"/>
    <d v="2025-03-15T00:00:00"/>
    <x v="4"/>
    <x v="2"/>
    <n v="113712"/>
    <x v="0"/>
    <x v="1"/>
    <n v="243997"/>
    <n v="130285"/>
    <x v="7"/>
  </r>
  <r>
    <x v="16"/>
    <d v="2025-10-26T00:00:00"/>
    <x v="2"/>
    <x v="0"/>
    <n v="205825"/>
    <x v="0"/>
    <x v="0"/>
    <n v="328136"/>
    <n v="122311"/>
    <x v="5"/>
  </r>
  <r>
    <x v="17"/>
    <d v="2025-02-16T00:00:00"/>
    <x v="3"/>
    <x v="4"/>
    <n v="143569"/>
    <x v="0"/>
    <x v="0"/>
    <n v="282941"/>
    <n v="139372"/>
    <x v="2"/>
  </r>
  <r>
    <x v="18"/>
    <d v="2025-11-02T00:00:00"/>
    <x v="3"/>
    <x v="3"/>
    <n v="217638"/>
    <x v="3"/>
    <x v="1"/>
    <n v="338304"/>
    <n v="120666"/>
    <x v="4"/>
  </r>
  <r>
    <x v="19"/>
    <d v="2025-10-11T00:00:00"/>
    <x v="3"/>
    <x v="5"/>
    <n v="148704"/>
    <x v="1"/>
    <x v="1"/>
    <n v="224610"/>
    <n v="75906"/>
    <x v="5"/>
  </r>
  <r>
    <x v="20"/>
    <d v="2025-02-27T00:00:00"/>
    <x v="4"/>
    <x v="3"/>
    <n v="211483"/>
    <x v="0"/>
    <x v="1"/>
    <n v="310657"/>
    <n v="99174"/>
    <x v="2"/>
  </r>
  <r>
    <x v="21"/>
    <d v="2025-09-14T00:00:00"/>
    <x v="1"/>
    <x v="1"/>
    <n v="10850"/>
    <x v="1"/>
    <x v="1"/>
    <n v="89895"/>
    <n v="79045"/>
    <x v="8"/>
  </r>
  <r>
    <x v="22"/>
    <d v="2025-11-08T00:00:00"/>
    <x v="1"/>
    <x v="2"/>
    <n v="230638"/>
    <x v="2"/>
    <x v="0"/>
    <n v="373718"/>
    <n v="143080"/>
    <x v="4"/>
  </r>
  <r>
    <x v="23"/>
    <d v="2025-01-01T00:00:00"/>
    <x v="5"/>
    <x v="0"/>
    <n v="151394"/>
    <x v="3"/>
    <x v="0"/>
    <n v="300423"/>
    <n v="149029"/>
    <x v="0"/>
  </r>
  <r>
    <x v="24"/>
    <d v="2025-06-07T00:00:00"/>
    <x v="1"/>
    <x v="4"/>
    <n v="39325"/>
    <x v="0"/>
    <x v="0"/>
    <n v="144478"/>
    <n v="105153"/>
    <x v="9"/>
  </r>
  <r>
    <x v="25"/>
    <d v="2025-02-05T00:00:00"/>
    <x v="5"/>
    <x v="2"/>
    <n v="32453"/>
    <x v="0"/>
    <x v="1"/>
    <n v="169852"/>
    <n v="137399"/>
    <x v="2"/>
  </r>
  <r>
    <x v="26"/>
    <d v="2025-05-16T00:00:00"/>
    <x v="5"/>
    <x v="1"/>
    <n v="154127"/>
    <x v="3"/>
    <x v="0"/>
    <n v="207414"/>
    <n v="53287"/>
    <x v="10"/>
  </r>
  <r>
    <x v="27"/>
    <d v="2025-06-09T00:00:00"/>
    <x v="2"/>
    <x v="5"/>
    <n v="151373"/>
    <x v="2"/>
    <x v="1"/>
    <n v="214103"/>
    <n v="62730"/>
    <x v="9"/>
  </r>
  <r>
    <x v="28"/>
    <d v="2025-08-20T00:00:00"/>
    <x v="3"/>
    <x v="2"/>
    <n v="245828"/>
    <x v="0"/>
    <x v="0"/>
    <n v="391507"/>
    <n v="145679"/>
    <x v="11"/>
  </r>
  <r>
    <x v="29"/>
    <d v="2025-10-29T00:00:00"/>
    <x v="5"/>
    <x v="2"/>
    <n v="98627"/>
    <x v="0"/>
    <x v="0"/>
    <n v="114141"/>
    <n v="15514"/>
    <x v="5"/>
  </r>
  <r>
    <x v="30"/>
    <d v="2025-04-28T00:00:00"/>
    <x v="3"/>
    <x v="4"/>
    <n v="28610"/>
    <x v="2"/>
    <x v="0"/>
    <n v="54043"/>
    <n v="25433"/>
    <x v="3"/>
  </r>
  <r>
    <x v="31"/>
    <d v="2025-05-23T00:00:00"/>
    <x v="0"/>
    <x v="3"/>
    <n v="144782"/>
    <x v="0"/>
    <x v="0"/>
    <n v="217173"/>
    <n v="72391"/>
    <x v="10"/>
  </r>
  <r>
    <x v="32"/>
    <d v="2025-05-05T00:00:00"/>
    <x v="2"/>
    <x v="3"/>
    <n v="199622"/>
    <x v="0"/>
    <x v="0"/>
    <n v="333529"/>
    <n v="133907"/>
    <x v="10"/>
  </r>
  <r>
    <x v="33"/>
    <d v="2025-07-01T00:00:00"/>
    <x v="2"/>
    <x v="3"/>
    <n v="35409"/>
    <x v="3"/>
    <x v="0"/>
    <n v="158406"/>
    <n v="122997"/>
    <x v="6"/>
  </r>
  <r>
    <x v="34"/>
    <d v="2025-02-01T00:00:00"/>
    <x v="2"/>
    <x v="5"/>
    <n v="186518"/>
    <x v="2"/>
    <x v="0"/>
    <n v="222317"/>
    <n v="35799"/>
    <x v="2"/>
  </r>
  <r>
    <x v="35"/>
    <d v="2025-04-08T00:00:00"/>
    <x v="5"/>
    <x v="3"/>
    <n v="75183"/>
    <x v="0"/>
    <x v="1"/>
    <n v="135407"/>
    <n v="60224"/>
    <x v="3"/>
  </r>
  <r>
    <x v="36"/>
    <d v="2025-08-25T00:00:00"/>
    <x v="1"/>
    <x v="4"/>
    <n v="58100"/>
    <x v="3"/>
    <x v="0"/>
    <n v="141118"/>
    <n v="83018"/>
    <x v="11"/>
  </r>
  <r>
    <x v="37"/>
    <d v="2025-02-17T00:00:00"/>
    <x v="1"/>
    <x v="2"/>
    <n v="23261"/>
    <x v="3"/>
    <x v="1"/>
    <n v="37129"/>
    <n v="13868"/>
    <x v="2"/>
  </r>
  <r>
    <x v="38"/>
    <d v="2025-07-25T00:00:00"/>
    <x v="3"/>
    <x v="2"/>
    <n v="136185"/>
    <x v="3"/>
    <x v="0"/>
    <n v="202217"/>
    <n v="66032"/>
    <x v="6"/>
  </r>
  <r>
    <x v="39"/>
    <d v="2025-08-21T00:00:00"/>
    <x v="4"/>
    <x v="3"/>
    <n v="112346"/>
    <x v="3"/>
    <x v="0"/>
    <n v="191867"/>
    <n v="79521"/>
    <x v="11"/>
  </r>
  <r>
    <x v="40"/>
    <d v="2025-04-22T00:00:00"/>
    <x v="3"/>
    <x v="1"/>
    <n v="59780"/>
    <x v="1"/>
    <x v="1"/>
    <n v="147560"/>
    <n v="87780"/>
    <x v="3"/>
  </r>
  <r>
    <x v="41"/>
    <d v="2025-10-27T00:00:00"/>
    <x v="2"/>
    <x v="1"/>
    <n v="24985"/>
    <x v="0"/>
    <x v="0"/>
    <n v="48129"/>
    <n v="23144"/>
    <x v="5"/>
  </r>
  <r>
    <x v="42"/>
    <d v="2025-04-06T00:00:00"/>
    <x v="3"/>
    <x v="1"/>
    <n v="143124"/>
    <x v="1"/>
    <x v="0"/>
    <n v="174124"/>
    <n v="31000"/>
    <x v="3"/>
  </r>
  <r>
    <x v="43"/>
    <d v="2025-10-19T00:00:00"/>
    <x v="1"/>
    <x v="1"/>
    <n v="115847"/>
    <x v="1"/>
    <x v="0"/>
    <n v="157274"/>
    <n v="41427"/>
    <x v="5"/>
  </r>
  <r>
    <x v="44"/>
    <d v="2025-06-11T00:00:00"/>
    <x v="4"/>
    <x v="2"/>
    <n v="119897"/>
    <x v="2"/>
    <x v="0"/>
    <n v="266941"/>
    <n v="147044"/>
    <x v="9"/>
  </r>
  <r>
    <x v="45"/>
    <d v="2025-03-09T00:00:00"/>
    <x v="0"/>
    <x v="5"/>
    <n v="79629"/>
    <x v="2"/>
    <x v="1"/>
    <n v="193381"/>
    <n v="113752"/>
    <x v="7"/>
  </r>
  <r>
    <x v="46"/>
    <d v="2025-01-05T00:00:00"/>
    <x v="2"/>
    <x v="1"/>
    <n v="92883"/>
    <x v="1"/>
    <x v="0"/>
    <n v="121899"/>
    <n v="29016"/>
    <x v="0"/>
  </r>
  <r>
    <x v="47"/>
    <d v="2025-09-17T00:00:00"/>
    <x v="4"/>
    <x v="2"/>
    <n v="150937"/>
    <x v="2"/>
    <x v="0"/>
    <n v="216814"/>
    <n v="65877"/>
    <x v="8"/>
  </r>
  <r>
    <x v="48"/>
    <d v="2025-07-09T00:00:00"/>
    <x v="4"/>
    <x v="2"/>
    <n v="240495"/>
    <x v="3"/>
    <x v="1"/>
    <n v="314532"/>
    <n v="74037"/>
    <x v="6"/>
  </r>
  <r>
    <x v="49"/>
    <d v="2025-01-05T00:00:00"/>
    <x v="0"/>
    <x v="1"/>
    <n v="170347"/>
    <x v="2"/>
    <x v="0"/>
    <n v="319005"/>
    <n v="148658"/>
    <x v="0"/>
  </r>
  <r>
    <x v="50"/>
    <d v="2025-05-16T00:00:00"/>
    <x v="3"/>
    <x v="4"/>
    <n v="240195"/>
    <x v="0"/>
    <x v="1"/>
    <n v="285398"/>
    <n v="45203"/>
    <x v="10"/>
  </r>
  <r>
    <x v="51"/>
    <d v="2025-06-25T00:00:00"/>
    <x v="1"/>
    <x v="5"/>
    <n v="83860"/>
    <x v="2"/>
    <x v="1"/>
    <n v="149075"/>
    <n v="65215"/>
    <x v="9"/>
  </r>
  <r>
    <x v="52"/>
    <d v="2025-02-17T00:00:00"/>
    <x v="0"/>
    <x v="3"/>
    <n v="75829"/>
    <x v="2"/>
    <x v="0"/>
    <n v="99145"/>
    <n v="23316"/>
    <x v="2"/>
  </r>
  <r>
    <x v="53"/>
    <d v="2025-03-08T00:00:00"/>
    <x v="0"/>
    <x v="0"/>
    <n v="10929"/>
    <x v="0"/>
    <x v="1"/>
    <n v="108368"/>
    <n v="97439"/>
    <x v="7"/>
  </r>
  <r>
    <x v="54"/>
    <d v="2025-10-15T00:00:00"/>
    <x v="3"/>
    <x v="4"/>
    <n v="154619"/>
    <x v="1"/>
    <x v="0"/>
    <n v="276734"/>
    <n v="122115"/>
    <x v="5"/>
  </r>
  <r>
    <x v="55"/>
    <d v="2025-07-09T00:00:00"/>
    <x v="5"/>
    <x v="1"/>
    <n v="153023"/>
    <x v="0"/>
    <x v="1"/>
    <n v="172467"/>
    <n v="19444"/>
    <x v="6"/>
  </r>
  <r>
    <x v="56"/>
    <d v="2025-06-07T00:00:00"/>
    <x v="4"/>
    <x v="4"/>
    <n v="43409"/>
    <x v="2"/>
    <x v="0"/>
    <n v="64374"/>
    <n v="20965"/>
    <x v="9"/>
  </r>
  <r>
    <x v="57"/>
    <d v="2025-12-08T00:00:00"/>
    <x v="3"/>
    <x v="0"/>
    <n v="188799"/>
    <x v="3"/>
    <x v="0"/>
    <n v="264211"/>
    <n v="75412"/>
    <x v="1"/>
  </r>
  <r>
    <x v="58"/>
    <d v="2025-04-01T00:00:00"/>
    <x v="2"/>
    <x v="4"/>
    <n v="72059"/>
    <x v="0"/>
    <x v="1"/>
    <n v="124657"/>
    <n v="52598"/>
    <x v="3"/>
  </r>
  <r>
    <x v="59"/>
    <d v="2025-12-09T00:00:00"/>
    <x v="0"/>
    <x v="2"/>
    <n v="215097"/>
    <x v="2"/>
    <x v="0"/>
    <n v="333025"/>
    <n v="11792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Payment Method">
  <location ref="A13:B18" firstHeaderRow="1" firstDataRow="1" firstDataCol="1"/>
  <pivotFields count="10">
    <pivotField showAll="0"/>
    <pivotField numFmtId="164" showAll="0"/>
    <pivotField showAll="0">
      <items count="7">
        <item x="4"/>
        <item x="3"/>
        <item x="1"/>
        <item x="5"/>
        <item x="0"/>
        <item x="2"/>
        <item t="default"/>
      </items>
    </pivotField>
    <pivotField showAll="0">
      <items count="7">
        <item x="5"/>
        <item x="3"/>
        <item x="2"/>
        <item x="0"/>
        <item x="4"/>
        <item x="1"/>
        <item t="default"/>
      </items>
    </pivotField>
    <pivotField dataField="1" numFmtId="165"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165" showAll="0"/>
    <pivotField showAll="0">
      <items count="13">
        <item x="0"/>
        <item x="2"/>
        <item x="7"/>
        <item x="3"/>
        <item x="10"/>
        <item x="9"/>
        <item x="6"/>
        <item x="11"/>
        <item x="8"/>
        <item x="5"/>
        <item x="4"/>
        <item x="1"/>
        <item t="default"/>
      </items>
    </pivotField>
  </pivotFields>
  <rowFields count="1">
    <field x="5"/>
  </rowFields>
  <rowItems count="5">
    <i>
      <x/>
    </i>
    <i>
      <x v="1"/>
    </i>
    <i>
      <x v="3"/>
    </i>
    <i>
      <x v="2"/>
    </i>
    <i t="grand">
      <x/>
    </i>
  </rowItems>
  <colItems count="1">
    <i/>
  </colItems>
  <dataFields count="1">
    <dataField name="Sum of Amount (INR)" fld="4" baseField="2"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rowHeaderCaption="Category">
  <location ref="D2:E9" firstHeaderRow="1" firstDataRow="1" firstDataCol="1"/>
  <pivotFields count="10">
    <pivotField showAll="0"/>
    <pivotField numFmtId="164" showAll="0"/>
    <pivotField showAll="0">
      <items count="7">
        <item x="4"/>
        <item x="3"/>
        <item x="1"/>
        <item x="5"/>
        <item x="0"/>
        <item x="2"/>
        <item t="default"/>
      </items>
    </pivotField>
    <pivotField axis="axisRow" showAll="0" sortType="descending">
      <items count="7">
        <item x="5"/>
        <item x="3"/>
        <item x="2"/>
        <item x="0"/>
        <item x="4"/>
        <item x="1"/>
        <item t="default"/>
      </items>
      <autoSortScope>
        <pivotArea dataOnly="0" outline="0" fieldPosition="0">
          <references count="1">
            <reference field="4294967294" count="1" selected="0">
              <x v="0"/>
            </reference>
          </references>
        </pivotArea>
      </autoSortScope>
    </pivotField>
    <pivotField dataField="1" numFmtId="165" showAll="0"/>
    <pivotField showAll="0">
      <items count="5">
        <item x="0"/>
        <item x="2"/>
        <item x="1"/>
        <item x="3"/>
        <item t="default"/>
      </items>
    </pivotField>
    <pivotField showAll="0">
      <items count="3">
        <item x="1"/>
        <item x="0"/>
        <item t="default"/>
      </items>
    </pivotField>
    <pivotField showAll="0"/>
    <pivotField numFmtId="165" showAll="0"/>
    <pivotField showAll="0">
      <items count="13">
        <item x="0"/>
        <item x="2"/>
        <item x="7"/>
        <item x="3"/>
        <item x="10"/>
        <item x="9"/>
        <item x="6"/>
        <item x="11"/>
        <item x="8"/>
        <item x="5"/>
        <item x="4"/>
        <item x="1"/>
        <item t="default"/>
      </items>
    </pivotField>
  </pivotFields>
  <rowFields count="1">
    <field x="3"/>
  </rowFields>
  <rowItems count="7">
    <i>
      <x v="2"/>
    </i>
    <i>
      <x v="3"/>
    </i>
    <i>
      <x v="5"/>
    </i>
    <i>
      <x v="1"/>
    </i>
    <i>
      <x v="4"/>
    </i>
    <i>
      <x/>
    </i>
    <i t="grand">
      <x/>
    </i>
  </rowItems>
  <colItems count="1">
    <i/>
  </colItems>
  <dataFields count="1">
    <dataField name="Sum of Amount (INR)" fld="4" baseField="2" baseItem="0" numFmtId="165"/>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7"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Department">
  <location ref="A2:B9" firstHeaderRow="1" firstDataRow="1" firstDataCol="1"/>
  <pivotFields count="10">
    <pivotField showAll="0"/>
    <pivotField numFmtId="164" showAll="0"/>
    <pivotField axis="axisRow" showAll="0" sortType="descending">
      <items count="7">
        <item x="4"/>
        <item x="3"/>
        <item x="1"/>
        <item x="5"/>
        <item x="0"/>
        <item x="2"/>
        <item t="default"/>
      </items>
      <autoSortScope>
        <pivotArea dataOnly="0" outline="0" fieldPosition="0">
          <references count="1">
            <reference field="4294967294" count="1" selected="0">
              <x v="0"/>
            </reference>
          </references>
        </pivotArea>
      </autoSortScope>
    </pivotField>
    <pivotField showAll="0">
      <items count="7">
        <item x="5"/>
        <item x="3"/>
        <item x="2"/>
        <item x="0"/>
        <item x="4"/>
        <item x="1"/>
        <item t="default"/>
      </items>
    </pivotField>
    <pivotField dataField="1" numFmtId="165" showAll="0"/>
    <pivotField showAll="0">
      <items count="5">
        <item x="0"/>
        <item x="2"/>
        <item x="1"/>
        <item x="3"/>
        <item t="default"/>
      </items>
    </pivotField>
    <pivotField showAll="0">
      <items count="3">
        <item x="1"/>
        <item x="0"/>
        <item t="default"/>
      </items>
    </pivotField>
    <pivotField showAll="0"/>
    <pivotField numFmtId="165" showAll="0"/>
    <pivotField showAll="0">
      <items count="13">
        <item x="0"/>
        <item x="2"/>
        <item x="7"/>
        <item x="3"/>
        <item x="10"/>
        <item x="9"/>
        <item x="6"/>
        <item x="11"/>
        <item x="8"/>
        <item x="5"/>
        <item x="4"/>
        <item x="1"/>
        <item t="default"/>
      </items>
    </pivotField>
  </pivotFields>
  <rowFields count="1">
    <field x="2"/>
  </rowFields>
  <rowItems count="7">
    <i>
      <x v="1"/>
    </i>
    <i>
      <x v="5"/>
    </i>
    <i>
      <x v="4"/>
    </i>
    <i>
      <x/>
    </i>
    <i>
      <x v="3"/>
    </i>
    <i>
      <x v="2"/>
    </i>
    <i t="grand">
      <x/>
    </i>
  </rowItems>
  <colItems count="1">
    <i/>
  </colItems>
  <dataFields count="1">
    <dataField name="Sum of Amount (INR)" fld="4" baseField="2"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dataPosition="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6" rowHeaderCaption="Approved">
  <location ref="J2:L5" firstHeaderRow="0" firstDataRow="1" firstDataCol="1"/>
  <pivotFields count="10">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items count="7">
        <item x="4"/>
        <item x="3"/>
        <item x="1"/>
        <item x="5"/>
        <item x="0"/>
        <item x="2"/>
        <item t="default"/>
      </items>
    </pivotField>
    <pivotField showAll="0">
      <items count="7">
        <item x="5"/>
        <item x="3"/>
        <item x="2"/>
        <item x="0"/>
        <item x="4"/>
        <item x="1"/>
        <item t="default"/>
      </items>
    </pivotField>
    <pivotField dataField="1" numFmtId="165" showAll="0"/>
    <pivotField showAll="0">
      <items count="5">
        <item x="0"/>
        <item x="2"/>
        <item x="1"/>
        <item x="3"/>
        <item t="default"/>
      </items>
    </pivotField>
    <pivotField axis="axisRow" showAll="0">
      <items count="3">
        <item x="1"/>
        <item x="0"/>
        <item t="default"/>
      </items>
    </pivotField>
    <pivotField showAll="0"/>
    <pivotField numFmtId="165" showAll="0"/>
    <pivotField showAll="0">
      <items count="13">
        <item x="0"/>
        <item x="2"/>
        <item x="7"/>
        <item x="3"/>
        <item x="10"/>
        <item x="9"/>
        <item x="6"/>
        <item x="11"/>
        <item x="8"/>
        <item x="5"/>
        <item x="4"/>
        <item x="1"/>
        <item t="default"/>
      </items>
    </pivotField>
  </pivotFields>
  <rowFields count="1">
    <field x="6"/>
  </rowFields>
  <rowItems count="3">
    <i>
      <x/>
    </i>
    <i>
      <x v="1"/>
    </i>
    <i t="grand">
      <x/>
    </i>
  </rowItems>
  <colFields count="1">
    <field x="-2"/>
  </colFields>
  <colItems count="2">
    <i>
      <x/>
    </i>
    <i i="1">
      <x v="1"/>
    </i>
  </colItems>
  <dataFields count="2">
    <dataField name="Sum of Amount (INR)" fld="4" baseField="0" baseItem="0"/>
    <dataField name="Count of Expense ID" fld="0" subtotal="count" baseField="0" baseItem="0"/>
  </dataFields>
  <formats count="2">
    <format dxfId="1">
      <pivotArea collapsedLevelsAreSubtotals="1" fieldPosition="0">
        <references count="2">
          <reference field="4294967294" count="1" selected="0">
            <x v="0"/>
          </reference>
          <reference field="6" count="0"/>
        </references>
      </pivotArea>
    </format>
    <format dxfId="0">
      <pivotArea field="6"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Month">
  <location ref="J8:M9" firstHeaderRow="0" firstDataRow="1" firstDataCol="0"/>
  <pivotFields count="10">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items count="7">
        <item x="4"/>
        <item x="3"/>
        <item x="1"/>
        <item x="5"/>
        <item x="0"/>
        <item x="2"/>
        <item t="default"/>
      </items>
    </pivotField>
    <pivotField showAll="0">
      <items count="7">
        <item x="5"/>
        <item x="3"/>
        <item x="2"/>
        <item x="0"/>
        <item x="4"/>
        <item x="1"/>
        <item t="default"/>
      </items>
    </pivotField>
    <pivotField dataField="1" numFmtId="165" showAll="0"/>
    <pivotField showAll="0">
      <items count="5">
        <item x="0"/>
        <item x="2"/>
        <item x="1"/>
        <item x="3"/>
        <item t="default"/>
      </items>
    </pivotField>
    <pivotField showAll="0">
      <items count="3">
        <item x="1"/>
        <item x="0"/>
        <item t="default"/>
      </items>
    </pivotField>
    <pivotField dataField="1" showAll="0"/>
    <pivotField dataField="1" numFmtId="165" showAll="0"/>
    <pivotField showAll="0">
      <items count="13">
        <item x="0"/>
        <item x="2"/>
        <item x="7"/>
        <item x="3"/>
        <item x="10"/>
        <item x="9"/>
        <item x="6"/>
        <item x="11"/>
        <item x="8"/>
        <item x="5"/>
        <item x="4"/>
        <item x="1"/>
        <item t="default"/>
      </items>
    </pivotField>
  </pivotFields>
  <rowItems count="1">
    <i/>
  </rowItems>
  <colFields count="1">
    <field x="-2"/>
  </colFields>
  <colItems count="4">
    <i>
      <x/>
    </i>
    <i i="1">
      <x v="1"/>
    </i>
    <i i="2">
      <x v="2"/>
    </i>
    <i i="3">
      <x v="3"/>
    </i>
  </colItems>
  <dataFields count="4">
    <dataField name="Sum of Amount (INR)" fld="4" baseField="0" baseItem="0" numFmtId="165"/>
    <dataField name="Sum of Budget Allocated" fld="7" baseField="0" baseItem="0" numFmtId="165"/>
    <dataField name="Sum of Budget Remaining" fld="8" baseField="0" baseItem="0" numFmtId="165"/>
    <dataField name="Count of Expense ID" fld="0" subtotal="count" baseField="0" baseItem="0"/>
  </dataFields>
  <formats count="1">
    <format dxfId="2">
      <pivotArea outline="0" collapsedLevelsAreSubtotals="1"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Month">
  <location ref="G2:H15" firstHeaderRow="1" firstDataRow="1" firstDataCol="1"/>
  <pivotFields count="10">
    <pivotField showAll="0"/>
    <pivotField numFmtId="164" showAll="0"/>
    <pivotField showAll="0">
      <items count="7">
        <item x="4"/>
        <item x="3"/>
        <item x="1"/>
        <item x="5"/>
        <item x="0"/>
        <item x="2"/>
        <item t="default"/>
      </items>
    </pivotField>
    <pivotField showAll="0">
      <items count="7">
        <item x="5"/>
        <item x="3"/>
        <item x="2"/>
        <item x="0"/>
        <item x="4"/>
        <item x="1"/>
        <item t="default"/>
      </items>
    </pivotField>
    <pivotField dataField="1" numFmtId="165" showAll="0"/>
    <pivotField showAll="0">
      <items count="5">
        <item x="0"/>
        <item x="2"/>
        <item x="1"/>
        <item x="3"/>
        <item t="default"/>
      </items>
    </pivotField>
    <pivotField showAll="0">
      <items count="3">
        <item x="1"/>
        <item x="0"/>
        <item t="default"/>
      </items>
    </pivotField>
    <pivotField showAll="0"/>
    <pivotField numFmtId="165" showAll="0"/>
    <pivotField axis="axisRow" showAll="0">
      <items count="13">
        <item x="0"/>
        <item x="2"/>
        <item x="7"/>
        <item x="3"/>
        <item x="10"/>
        <item x="9"/>
        <item x="6"/>
        <item x="11"/>
        <item x="8"/>
        <item x="5"/>
        <item x="4"/>
        <item x="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Amount (INR)" fld="4" baseField="2" baseItem="0" numFmtId="165"/>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2"/>
          </reference>
        </references>
      </pivotArea>
    </chartFormat>
    <chartFormat chart="3" format="4">
      <pivotArea type="data" outline="0" fieldPosition="0">
        <references count="2">
          <reference field="4294967294" count="1" selected="0">
            <x v="0"/>
          </reference>
          <reference field="9" count="1" selected="0">
            <x v="8"/>
          </reference>
        </references>
      </pivotArea>
    </chartFormat>
    <chartFormat chart="3" format="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Department">
  <location ref="A21:C28" firstHeaderRow="0" firstDataRow="1" firstDataCol="1"/>
  <pivotFields count="10">
    <pivotField showAll="0"/>
    <pivotField numFmtId="164" showAll="0"/>
    <pivotField axis="axisRow" showAll="0" sortType="descending">
      <items count="7">
        <item x="4"/>
        <item x="3"/>
        <item x="1"/>
        <item x="5"/>
        <item x="0"/>
        <item x="2"/>
        <item t="default"/>
      </items>
      <autoSortScope>
        <pivotArea dataOnly="0" outline="0" fieldPosition="0">
          <references count="1">
            <reference field="4294967294" count="1" selected="0">
              <x v="0"/>
            </reference>
          </references>
        </pivotArea>
      </autoSortScope>
    </pivotField>
    <pivotField showAll="0">
      <items count="7">
        <item x="5"/>
        <item x="3"/>
        <item x="2"/>
        <item x="0"/>
        <item x="4"/>
        <item x="1"/>
        <item t="default"/>
      </items>
    </pivotField>
    <pivotField dataField="1" numFmtId="165" showAll="0"/>
    <pivotField showAll="0">
      <items count="5">
        <item x="0"/>
        <item x="2"/>
        <item x="1"/>
        <item x="3"/>
        <item t="default"/>
      </items>
    </pivotField>
    <pivotField showAll="0">
      <items count="3">
        <item x="1"/>
        <item x="0"/>
        <item t="default"/>
      </items>
    </pivotField>
    <pivotField dataField="1" showAll="0"/>
    <pivotField numFmtId="165" showAll="0"/>
    <pivotField showAll="0">
      <items count="13">
        <item x="0"/>
        <item x="2"/>
        <item x="7"/>
        <item x="3"/>
        <item x="10"/>
        <item x="9"/>
        <item x="6"/>
        <item x="11"/>
        <item x="8"/>
        <item x="5"/>
        <item x="4"/>
        <item x="1"/>
        <item t="default"/>
      </items>
    </pivotField>
  </pivotFields>
  <rowFields count="1">
    <field x="2"/>
  </rowFields>
  <rowItems count="7">
    <i>
      <x v="1"/>
    </i>
    <i>
      <x v="5"/>
    </i>
    <i>
      <x v="4"/>
    </i>
    <i>
      <x/>
    </i>
    <i>
      <x v="3"/>
    </i>
    <i>
      <x v="2"/>
    </i>
    <i t="grand">
      <x/>
    </i>
  </rowItems>
  <colFields count="1">
    <field x="-2"/>
  </colFields>
  <colItems count="2">
    <i>
      <x/>
    </i>
    <i i="1">
      <x v="1"/>
    </i>
  </colItems>
  <dataFields count="2">
    <dataField name="Actual Spent" fld="4" baseField="5" baseItem="0" numFmtId="165"/>
    <dataField name="Sum of Budget Allocated" fld="7" baseField="0" baseItem="0" numFmtId="165"/>
  </dataFields>
  <formats count="1">
    <format dxfId="3">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dataPosition="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Approved">
  <location ref="J12:K15" firstHeaderRow="1" firstDataRow="1" firstDataCol="1"/>
  <pivotFields count="10">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items count="7">
        <item x="4"/>
        <item x="3"/>
        <item x="1"/>
        <item x="5"/>
        <item x="0"/>
        <item x="2"/>
        <item t="default"/>
      </items>
    </pivotField>
    <pivotField showAll="0">
      <items count="7">
        <item x="5"/>
        <item x="3"/>
        <item x="2"/>
        <item x="0"/>
        <item x="4"/>
        <item x="1"/>
        <item t="default"/>
      </items>
    </pivotField>
    <pivotField dataField="1" numFmtId="165" showAll="0"/>
    <pivotField showAll="0">
      <items count="5">
        <item x="0"/>
        <item x="2"/>
        <item x="1"/>
        <item x="3"/>
        <item t="default"/>
      </items>
    </pivotField>
    <pivotField axis="axisRow" showAll="0">
      <items count="3">
        <item x="1"/>
        <item x="0"/>
        <item t="default"/>
      </items>
    </pivotField>
    <pivotField showAll="0"/>
    <pivotField numFmtId="165" showAll="0"/>
    <pivotField showAll="0">
      <items count="13">
        <item x="0"/>
        <item x="2"/>
        <item x="7"/>
        <item x="3"/>
        <item x="10"/>
        <item x="9"/>
        <item x="6"/>
        <item x="11"/>
        <item x="8"/>
        <item x="5"/>
        <item x="4"/>
        <item x="1"/>
        <item t="default"/>
      </items>
    </pivotField>
  </pivotFields>
  <rowFields count="1">
    <field x="6"/>
  </rowFields>
  <rowItems count="3">
    <i>
      <x/>
    </i>
    <i>
      <x v="1"/>
    </i>
    <i t="grand">
      <x/>
    </i>
  </rowItems>
  <colItems count="1">
    <i/>
  </colItems>
  <dataFields count="1">
    <dataField name="Sum of Amount (INR)" fld="4" baseField="0" baseItem="0"/>
  </dataFields>
  <formats count="3">
    <format dxfId="6">
      <pivotArea collapsedLevelsAreSubtotals="1" fieldPosition="0">
        <references count="1">
          <reference field="6" count="1">
            <x v="0"/>
          </reference>
        </references>
      </pivotArea>
    </format>
    <format dxfId="5">
      <pivotArea grandRow="1" outline="0" collapsedLevelsAreSubtotals="1" fieldPosition="0"/>
    </format>
    <format dxfId="4">
      <pivotArea collapsedLevelsAreSubtotals="1" fieldPosition="0">
        <references count="1">
          <reference field="6"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6" count="1" selected="0">
            <x v="0"/>
          </reference>
        </references>
      </pivotArea>
    </chartFormat>
    <chartFormat chart="9"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
      <items count="6">
        <i x="4" s="1"/>
        <i x="3" s="1"/>
        <i x="1"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
      <items count="6">
        <i x="5" s="1"/>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
      <items count="12">
        <i x="0" s="1"/>
        <i x="2" s="1"/>
        <i x="7" s="1"/>
        <i x="3" s="1"/>
        <i x="10" s="1"/>
        <i x="9" s="1"/>
        <i x="6" s="1"/>
        <i x="11" s="1"/>
        <i x="8" s="1"/>
        <i x="5"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pproved" sourceName="Approved">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My Slic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6" style="My Slicer" rowHeight="216000"/>
  <slicer name="Category" cache="Slicer_Category" caption="Category" style="My Slicer" rowHeight="234950"/>
  <slicer name="Month" cache="Slicer_Month" caption="Month" style="My Slicer" rowHeight="216000"/>
  <slicer name="Payment Method" cache="Slicer_Payment_Method" caption="Payment Method" columnCount="4" style="My Slicer" rowHeight="216000"/>
  <slicer name="Approved" cache="Slicer_Approved" caption="Approved" columnCount="2" style="My Slicer" rowHeight="216000"/>
</slicers>
</file>

<file path=xl/tables/table1.xml><?xml version="1.0" encoding="utf-8"?>
<table xmlns="http://schemas.openxmlformats.org/spreadsheetml/2006/main" id="2" name="Table2" displayName="Table2" ref="A1:J61" totalsRowShown="0">
  <autoFilter ref="A1:J61"/>
  <tableColumns count="10">
    <tableColumn id="1" name="Expense ID"/>
    <tableColumn id="2" name="Date" dataDxfId="10"/>
    <tableColumn id="3" name="Department"/>
    <tableColumn id="4" name="Category"/>
    <tableColumn id="5" name="Amount (INR)" dataDxfId="9"/>
    <tableColumn id="6" name="Payment Method"/>
    <tableColumn id="7" name="Approved"/>
    <tableColumn id="8" name="Budget Allocated"/>
    <tableColumn id="9" name="Budget Remaining" dataDxfId="8"/>
    <tableColumn id="10" name="Month" dataDxfId="7">
      <calculatedColumnFormula>TEXT(Table2[[#This Row],[Date]],"mmm")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selection activeCell="E27" sqref="E27"/>
    </sheetView>
  </sheetViews>
  <sheetFormatPr defaultRowHeight="14.4" x14ac:dyDescent="0.3"/>
  <cols>
    <col min="1" max="1" width="12" customWidth="1"/>
    <col min="2" max="2" width="11.88671875" style="1" bestFit="1" customWidth="1"/>
    <col min="3" max="3" width="13" customWidth="1"/>
    <col min="4" max="4" width="13.109375" bestFit="1" customWidth="1"/>
    <col min="5" max="5" width="14.5546875" style="2" customWidth="1"/>
    <col min="6" max="6" width="17.6640625" customWidth="1"/>
    <col min="7" max="7" width="11.21875" customWidth="1"/>
    <col min="8" max="8" width="17.21875" customWidth="1"/>
    <col min="9" max="9" width="18.21875" style="2" customWidth="1"/>
  </cols>
  <sheetData>
    <row r="1" spans="1:10" x14ac:dyDescent="0.3">
      <c r="A1" t="s">
        <v>0</v>
      </c>
      <c r="B1" s="1" t="s">
        <v>1</v>
      </c>
      <c r="C1" t="s">
        <v>2</v>
      </c>
      <c r="D1" t="s">
        <v>3</v>
      </c>
      <c r="E1" s="2" t="s">
        <v>4</v>
      </c>
      <c r="F1" t="s">
        <v>5</v>
      </c>
      <c r="G1" t="s">
        <v>6</v>
      </c>
      <c r="H1" t="s">
        <v>7</v>
      </c>
      <c r="I1" s="2" t="s">
        <v>8</v>
      </c>
      <c r="J1" t="s">
        <v>87</v>
      </c>
    </row>
    <row r="2" spans="1:10" x14ac:dyDescent="0.3">
      <c r="A2" t="s">
        <v>9</v>
      </c>
      <c r="B2" s="1">
        <v>45670</v>
      </c>
      <c r="C2" t="s">
        <v>10</v>
      </c>
      <c r="D2" t="s">
        <v>11</v>
      </c>
      <c r="E2" s="2">
        <v>177621</v>
      </c>
      <c r="F2" t="s">
        <v>12</v>
      </c>
      <c r="G2" t="s">
        <v>13</v>
      </c>
      <c r="H2">
        <v>216805</v>
      </c>
      <c r="I2" s="2">
        <v>39184</v>
      </c>
      <c r="J2" t="str">
        <f>TEXT(Table2[[#This Row],[Date]],"mmm")</f>
        <v>Jan</v>
      </c>
    </row>
    <row r="3" spans="1:10" x14ac:dyDescent="0.3">
      <c r="A3" t="s">
        <v>14</v>
      </c>
      <c r="B3" s="1">
        <v>46004</v>
      </c>
      <c r="C3" t="s">
        <v>10</v>
      </c>
      <c r="D3" t="s">
        <v>15</v>
      </c>
      <c r="E3" s="2">
        <v>46579</v>
      </c>
      <c r="F3" t="s">
        <v>16</v>
      </c>
      <c r="G3" t="s">
        <v>17</v>
      </c>
      <c r="H3">
        <v>83447</v>
      </c>
      <c r="I3" s="2">
        <v>36868</v>
      </c>
      <c r="J3" t="str">
        <f>TEXT(Table2[[#This Row],[Date]],"mmm")</f>
        <v>Dec</v>
      </c>
    </row>
    <row r="4" spans="1:10" x14ac:dyDescent="0.3">
      <c r="A4" t="s">
        <v>18</v>
      </c>
      <c r="B4" s="1">
        <v>45705</v>
      </c>
      <c r="C4" t="s">
        <v>19</v>
      </c>
      <c r="D4" t="s">
        <v>20</v>
      </c>
      <c r="E4" s="2">
        <v>18331</v>
      </c>
      <c r="F4" t="s">
        <v>16</v>
      </c>
      <c r="G4" t="s">
        <v>13</v>
      </c>
      <c r="H4">
        <v>36142</v>
      </c>
      <c r="I4" s="2">
        <v>17811</v>
      </c>
      <c r="J4" t="str">
        <f>TEXT(Table2[[#This Row],[Date]],"mmm")</f>
        <v>Feb</v>
      </c>
    </row>
    <row r="5" spans="1:10" x14ac:dyDescent="0.3">
      <c r="A5" t="s">
        <v>21</v>
      </c>
      <c r="B5" s="1">
        <v>45770</v>
      </c>
      <c r="C5" t="s">
        <v>22</v>
      </c>
      <c r="D5" t="s">
        <v>15</v>
      </c>
      <c r="E5" s="2">
        <v>197700</v>
      </c>
      <c r="F5" t="s">
        <v>23</v>
      </c>
      <c r="G5" t="s">
        <v>13</v>
      </c>
      <c r="H5">
        <v>317674</v>
      </c>
      <c r="I5" s="2">
        <v>119974</v>
      </c>
      <c r="J5" t="str">
        <f>TEXT(Table2[[#This Row],[Date]],"mmm")</f>
        <v>Apr</v>
      </c>
    </row>
    <row r="6" spans="1:10" x14ac:dyDescent="0.3">
      <c r="A6" t="s">
        <v>24</v>
      </c>
      <c r="B6" s="1">
        <v>46015</v>
      </c>
      <c r="C6" t="s">
        <v>22</v>
      </c>
      <c r="D6" t="s">
        <v>11</v>
      </c>
      <c r="E6" s="2">
        <v>208916</v>
      </c>
      <c r="F6" t="s">
        <v>23</v>
      </c>
      <c r="G6" t="s">
        <v>13</v>
      </c>
      <c r="H6">
        <v>260769</v>
      </c>
      <c r="I6" s="2">
        <v>51853</v>
      </c>
      <c r="J6" t="str">
        <f>TEXT(Table2[[#This Row],[Date]],"mmm")</f>
        <v>Dec</v>
      </c>
    </row>
    <row r="7" spans="1:10" x14ac:dyDescent="0.3">
      <c r="A7" t="s">
        <v>25</v>
      </c>
      <c r="B7" s="1">
        <v>45710</v>
      </c>
      <c r="C7" t="s">
        <v>26</v>
      </c>
      <c r="D7" t="s">
        <v>27</v>
      </c>
      <c r="E7" s="2">
        <v>66443</v>
      </c>
      <c r="F7" t="s">
        <v>16</v>
      </c>
      <c r="G7" t="s">
        <v>17</v>
      </c>
      <c r="H7">
        <v>164679</v>
      </c>
      <c r="I7" s="2">
        <v>98236</v>
      </c>
      <c r="J7" t="str">
        <f>TEXT(Table2[[#This Row],[Date]],"mmm")</f>
        <v>Feb</v>
      </c>
    </row>
    <row r="8" spans="1:10" x14ac:dyDescent="0.3">
      <c r="A8" t="s">
        <v>28</v>
      </c>
      <c r="B8" s="1">
        <v>45967</v>
      </c>
      <c r="C8" t="s">
        <v>29</v>
      </c>
      <c r="D8" t="s">
        <v>30</v>
      </c>
      <c r="E8" s="2">
        <v>232165</v>
      </c>
      <c r="F8" t="s">
        <v>31</v>
      </c>
      <c r="G8" t="s">
        <v>13</v>
      </c>
      <c r="H8">
        <v>332330</v>
      </c>
      <c r="I8" s="2">
        <v>100165</v>
      </c>
      <c r="J8" t="str">
        <f>TEXT(Table2[[#This Row],[Date]],"mmm")</f>
        <v>Nov</v>
      </c>
    </row>
    <row r="9" spans="1:10" x14ac:dyDescent="0.3">
      <c r="A9" t="s">
        <v>32</v>
      </c>
      <c r="B9" s="1">
        <v>45940</v>
      </c>
      <c r="C9" t="s">
        <v>29</v>
      </c>
      <c r="D9" t="s">
        <v>33</v>
      </c>
      <c r="E9" s="2">
        <v>109230</v>
      </c>
      <c r="F9" t="s">
        <v>23</v>
      </c>
      <c r="G9" t="s">
        <v>13</v>
      </c>
      <c r="H9">
        <v>139886</v>
      </c>
      <c r="I9" s="2">
        <v>30656</v>
      </c>
      <c r="J9" t="str">
        <f>TEXT(Table2[[#This Row],[Date]],"mmm")</f>
        <v>Oct</v>
      </c>
    </row>
    <row r="10" spans="1:10" x14ac:dyDescent="0.3">
      <c r="A10" t="s">
        <v>34</v>
      </c>
      <c r="B10" s="1">
        <v>45681</v>
      </c>
      <c r="C10" t="s">
        <v>10</v>
      </c>
      <c r="D10" t="s">
        <v>20</v>
      </c>
      <c r="E10" s="2">
        <v>194699</v>
      </c>
      <c r="F10" t="s">
        <v>23</v>
      </c>
      <c r="G10" t="s">
        <v>13</v>
      </c>
      <c r="H10">
        <v>222932</v>
      </c>
      <c r="I10" s="2">
        <v>28233</v>
      </c>
      <c r="J10" t="str">
        <f>TEXT(Table2[[#This Row],[Date]],"mmm")</f>
        <v>Jan</v>
      </c>
    </row>
    <row r="11" spans="1:10" x14ac:dyDescent="0.3">
      <c r="A11" t="s">
        <v>35</v>
      </c>
      <c r="B11" s="1">
        <v>45709</v>
      </c>
      <c r="C11" t="s">
        <v>22</v>
      </c>
      <c r="D11" t="s">
        <v>11</v>
      </c>
      <c r="E11" s="2">
        <v>234216</v>
      </c>
      <c r="F11" t="s">
        <v>31</v>
      </c>
      <c r="G11" t="s">
        <v>17</v>
      </c>
      <c r="H11">
        <v>305240</v>
      </c>
      <c r="I11" s="2">
        <v>71024</v>
      </c>
      <c r="J11" t="str">
        <f>TEXT(Table2[[#This Row],[Date]],"mmm")</f>
        <v>Feb</v>
      </c>
    </row>
    <row r="12" spans="1:10" x14ac:dyDescent="0.3">
      <c r="A12" t="s">
        <v>36</v>
      </c>
      <c r="B12" s="1">
        <v>45839</v>
      </c>
      <c r="C12" t="s">
        <v>19</v>
      </c>
      <c r="D12" t="s">
        <v>33</v>
      </c>
      <c r="E12" s="2">
        <v>52638</v>
      </c>
      <c r="F12" t="s">
        <v>23</v>
      </c>
      <c r="G12" t="s">
        <v>13</v>
      </c>
      <c r="H12">
        <v>159678</v>
      </c>
      <c r="I12" s="2">
        <v>107040</v>
      </c>
      <c r="J12" t="str">
        <f>TEXT(Table2[[#This Row],[Date]],"mmm")</f>
        <v>Jul</v>
      </c>
    </row>
    <row r="13" spans="1:10" x14ac:dyDescent="0.3">
      <c r="A13" t="s">
        <v>37</v>
      </c>
      <c r="B13" s="1">
        <v>45931</v>
      </c>
      <c r="C13" t="s">
        <v>10</v>
      </c>
      <c r="D13" t="s">
        <v>20</v>
      </c>
      <c r="E13" s="2">
        <v>169680</v>
      </c>
      <c r="F13" t="s">
        <v>12</v>
      </c>
      <c r="G13" t="s">
        <v>17</v>
      </c>
      <c r="H13">
        <v>224542</v>
      </c>
      <c r="I13" s="2">
        <v>54862</v>
      </c>
      <c r="J13" t="str">
        <f>TEXT(Table2[[#This Row],[Date]],"mmm")</f>
        <v>Oct</v>
      </c>
    </row>
    <row r="14" spans="1:10" x14ac:dyDescent="0.3">
      <c r="A14" t="s">
        <v>38</v>
      </c>
      <c r="B14" s="1">
        <v>45985</v>
      </c>
      <c r="C14" t="s">
        <v>10</v>
      </c>
      <c r="D14" t="s">
        <v>15</v>
      </c>
      <c r="E14" s="2">
        <v>109471</v>
      </c>
      <c r="F14" t="s">
        <v>12</v>
      </c>
      <c r="G14" t="s">
        <v>17</v>
      </c>
      <c r="H14">
        <v>190236</v>
      </c>
      <c r="I14" s="2">
        <v>80765</v>
      </c>
      <c r="J14" t="str">
        <f>TEXT(Table2[[#This Row],[Date]],"mmm")</f>
        <v>Nov</v>
      </c>
    </row>
    <row r="15" spans="1:10" x14ac:dyDescent="0.3">
      <c r="A15" t="s">
        <v>39</v>
      </c>
      <c r="B15" s="1">
        <v>45775</v>
      </c>
      <c r="C15" t="s">
        <v>26</v>
      </c>
      <c r="D15" t="s">
        <v>11</v>
      </c>
      <c r="E15" s="2">
        <v>230948</v>
      </c>
      <c r="F15" t="s">
        <v>31</v>
      </c>
      <c r="G15" t="s">
        <v>17</v>
      </c>
      <c r="H15">
        <v>255611</v>
      </c>
      <c r="I15" s="2">
        <v>24663</v>
      </c>
      <c r="J15" t="str">
        <f>TEXT(Table2[[#This Row],[Date]],"mmm")</f>
        <v>Apr</v>
      </c>
    </row>
    <row r="16" spans="1:10" x14ac:dyDescent="0.3">
      <c r="A16" t="s">
        <v>40</v>
      </c>
      <c r="B16" s="1">
        <v>45948</v>
      </c>
      <c r="C16" t="s">
        <v>10</v>
      </c>
      <c r="D16" t="s">
        <v>11</v>
      </c>
      <c r="E16" s="2">
        <v>27350</v>
      </c>
      <c r="F16" t="s">
        <v>12</v>
      </c>
      <c r="G16" t="s">
        <v>17</v>
      </c>
      <c r="H16">
        <v>92657</v>
      </c>
      <c r="I16" s="2">
        <v>65307</v>
      </c>
      <c r="J16" t="str">
        <f>TEXT(Table2[[#This Row],[Date]],"mmm")</f>
        <v>Oct</v>
      </c>
    </row>
    <row r="17" spans="1:10" x14ac:dyDescent="0.3">
      <c r="A17" t="s">
        <v>41</v>
      </c>
      <c r="B17" s="1">
        <v>45731</v>
      </c>
      <c r="C17" t="s">
        <v>29</v>
      </c>
      <c r="D17" t="s">
        <v>20</v>
      </c>
      <c r="E17" s="2">
        <v>113712</v>
      </c>
      <c r="F17" t="s">
        <v>12</v>
      </c>
      <c r="G17" t="s">
        <v>17</v>
      </c>
      <c r="H17">
        <v>243997</v>
      </c>
      <c r="I17" s="2">
        <v>130285</v>
      </c>
      <c r="J17" t="str">
        <f>TEXT(Table2[[#This Row],[Date]],"mmm")</f>
        <v>Mar</v>
      </c>
    </row>
    <row r="18" spans="1:10" x14ac:dyDescent="0.3">
      <c r="A18" t="s">
        <v>42</v>
      </c>
      <c r="B18" s="1">
        <v>45956</v>
      </c>
      <c r="C18" t="s">
        <v>22</v>
      </c>
      <c r="D18" t="s">
        <v>11</v>
      </c>
      <c r="E18" s="2">
        <v>205825</v>
      </c>
      <c r="F18" t="s">
        <v>12</v>
      </c>
      <c r="G18" t="s">
        <v>13</v>
      </c>
      <c r="H18">
        <v>328136</v>
      </c>
      <c r="I18" s="2">
        <v>122311</v>
      </c>
      <c r="J18" t="str">
        <f>TEXT(Table2[[#This Row],[Date]],"mmm")</f>
        <v>Oct</v>
      </c>
    </row>
    <row r="19" spans="1:10" x14ac:dyDescent="0.3">
      <c r="A19" t="s">
        <v>43</v>
      </c>
      <c r="B19" s="1">
        <v>45704</v>
      </c>
      <c r="C19" t="s">
        <v>26</v>
      </c>
      <c r="D19" t="s">
        <v>30</v>
      </c>
      <c r="E19" s="2">
        <v>143569</v>
      </c>
      <c r="F19" t="s">
        <v>12</v>
      </c>
      <c r="G19" t="s">
        <v>13</v>
      </c>
      <c r="H19">
        <v>282941</v>
      </c>
      <c r="I19" s="2">
        <v>139372</v>
      </c>
      <c r="J19" t="str">
        <f>TEXT(Table2[[#This Row],[Date]],"mmm")</f>
        <v>Feb</v>
      </c>
    </row>
    <row r="20" spans="1:10" x14ac:dyDescent="0.3">
      <c r="A20" t="s">
        <v>44</v>
      </c>
      <c r="B20" s="1">
        <v>45963</v>
      </c>
      <c r="C20" t="s">
        <v>26</v>
      </c>
      <c r="D20" t="s">
        <v>27</v>
      </c>
      <c r="E20" s="2">
        <v>217638</v>
      </c>
      <c r="F20" t="s">
        <v>31</v>
      </c>
      <c r="G20" t="s">
        <v>17</v>
      </c>
      <c r="H20">
        <v>338304</v>
      </c>
      <c r="I20" s="2">
        <v>120666</v>
      </c>
      <c r="J20" t="str">
        <f>TEXT(Table2[[#This Row],[Date]],"mmm")</f>
        <v>Nov</v>
      </c>
    </row>
    <row r="21" spans="1:10" x14ac:dyDescent="0.3">
      <c r="A21" t="s">
        <v>45</v>
      </c>
      <c r="B21" s="1">
        <v>45941</v>
      </c>
      <c r="C21" t="s">
        <v>26</v>
      </c>
      <c r="D21" t="s">
        <v>33</v>
      </c>
      <c r="E21" s="2">
        <v>148704</v>
      </c>
      <c r="F21" t="s">
        <v>16</v>
      </c>
      <c r="G21" t="s">
        <v>17</v>
      </c>
      <c r="H21">
        <v>224610</v>
      </c>
      <c r="I21" s="2">
        <v>75906</v>
      </c>
      <c r="J21" t="str">
        <f>TEXT(Table2[[#This Row],[Date]],"mmm")</f>
        <v>Oct</v>
      </c>
    </row>
    <row r="22" spans="1:10" x14ac:dyDescent="0.3">
      <c r="A22" t="s">
        <v>46</v>
      </c>
      <c r="B22" s="1">
        <v>45715</v>
      </c>
      <c r="C22" t="s">
        <v>29</v>
      </c>
      <c r="D22" t="s">
        <v>27</v>
      </c>
      <c r="E22" s="2">
        <v>211483</v>
      </c>
      <c r="F22" t="s">
        <v>12</v>
      </c>
      <c r="G22" t="s">
        <v>17</v>
      </c>
      <c r="H22">
        <v>310657</v>
      </c>
      <c r="I22" s="2">
        <v>99174</v>
      </c>
      <c r="J22" t="str">
        <f>TEXT(Table2[[#This Row],[Date]],"mmm")</f>
        <v>Feb</v>
      </c>
    </row>
    <row r="23" spans="1:10" x14ac:dyDescent="0.3">
      <c r="A23" t="s">
        <v>47</v>
      </c>
      <c r="B23" s="1">
        <v>45914</v>
      </c>
      <c r="C23" t="s">
        <v>19</v>
      </c>
      <c r="D23" t="s">
        <v>15</v>
      </c>
      <c r="E23" s="2">
        <v>10850</v>
      </c>
      <c r="F23" t="s">
        <v>16</v>
      </c>
      <c r="G23" t="s">
        <v>17</v>
      </c>
      <c r="H23">
        <v>89895</v>
      </c>
      <c r="I23" s="2">
        <v>79045</v>
      </c>
      <c r="J23" t="str">
        <f>TEXT(Table2[[#This Row],[Date]],"mmm")</f>
        <v>Sep</v>
      </c>
    </row>
    <row r="24" spans="1:10" x14ac:dyDescent="0.3">
      <c r="A24" t="s">
        <v>48</v>
      </c>
      <c r="B24" s="1">
        <v>45969</v>
      </c>
      <c r="C24" t="s">
        <v>19</v>
      </c>
      <c r="D24" t="s">
        <v>20</v>
      </c>
      <c r="E24" s="2">
        <v>230638</v>
      </c>
      <c r="F24" t="s">
        <v>23</v>
      </c>
      <c r="G24" t="s">
        <v>13</v>
      </c>
      <c r="H24">
        <v>373718</v>
      </c>
      <c r="I24" s="2">
        <v>143080</v>
      </c>
      <c r="J24" t="str">
        <f>TEXT(Table2[[#This Row],[Date]],"mmm")</f>
        <v>Nov</v>
      </c>
    </row>
    <row r="25" spans="1:10" x14ac:dyDescent="0.3">
      <c r="A25" t="s">
        <v>49</v>
      </c>
      <c r="B25" s="1">
        <v>45658</v>
      </c>
      <c r="C25" t="s">
        <v>50</v>
      </c>
      <c r="D25" t="s">
        <v>11</v>
      </c>
      <c r="E25" s="2">
        <v>151394</v>
      </c>
      <c r="F25" t="s">
        <v>31</v>
      </c>
      <c r="G25" t="s">
        <v>13</v>
      </c>
      <c r="H25">
        <v>300423</v>
      </c>
      <c r="I25" s="2">
        <v>149029</v>
      </c>
      <c r="J25" t="str">
        <f>TEXT(Table2[[#This Row],[Date]],"mmm")</f>
        <v>Jan</v>
      </c>
    </row>
    <row r="26" spans="1:10" x14ac:dyDescent="0.3">
      <c r="A26" t="s">
        <v>51</v>
      </c>
      <c r="B26" s="1">
        <v>45815</v>
      </c>
      <c r="C26" t="s">
        <v>19</v>
      </c>
      <c r="D26" t="s">
        <v>30</v>
      </c>
      <c r="E26" s="2">
        <v>39325</v>
      </c>
      <c r="F26" t="s">
        <v>12</v>
      </c>
      <c r="G26" t="s">
        <v>13</v>
      </c>
      <c r="H26">
        <v>144478</v>
      </c>
      <c r="I26" s="2">
        <v>105153</v>
      </c>
      <c r="J26" t="str">
        <f>TEXT(Table2[[#This Row],[Date]],"mmm")</f>
        <v>Jun</v>
      </c>
    </row>
    <row r="27" spans="1:10" x14ac:dyDescent="0.3">
      <c r="A27" t="s">
        <v>52</v>
      </c>
      <c r="B27" s="1">
        <v>45693</v>
      </c>
      <c r="C27" t="s">
        <v>50</v>
      </c>
      <c r="D27" t="s">
        <v>20</v>
      </c>
      <c r="E27" s="2">
        <v>32453</v>
      </c>
      <c r="F27" t="s">
        <v>12</v>
      </c>
      <c r="G27" t="s">
        <v>17</v>
      </c>
      <c r="H27">
        <v>169852</v>
      </c>
      <c r="I27" s="2">
        <v>137399</v>
      </c>
      <c r="J27" t="str">
        <f>TEXT(Table2[[#This Row],[Date]],"mmm")</f>
        <v>Feb</v>
      </c>
    </row>
    <row r="28" spans="1:10" x14ac:dyDescent="0.3">
      <c r="A28" t="s">
        <v>53</v>
      </c>
      <c r="B28" s="1">
        <v>45793</v>
      </c>
      <c r="C28" t="s">
        <v>50</v>
      </c>
      <c r="D28" t="s">
        <v>15</v>
      </c>
      <c r="E28" s="2">
        <v>154127</v>
      </c>
      <c r="F28" t="s">
        <v>31</v>
      </c>
      <c r="G28" t="s">
        <v>13</v>
      </c>
      <c r="H28">
        <v>207414</v>
      </c>
      <c r="I28" s="2">
        <v>53287</v>
      </c>
      <c r="J28" t="str">
        <f>TEXT(Table2[[#This Row],[Date]],"mmm")</f>
        <v>May</v>
      </c>
    </row>
    <row r="29" spans="1:10" x14ac:dyDescent="0.3">
      <c r="A29" t="s">
        <v>54</v>
      </c>
      <c r="B29" s="1">
        <v>45817</v>
      </c>
      <c r="C29" t="s">
        <v>22</v>
      </c>
      <c r="D29" t="s">
        <v>33</v>
      </c>
      <c r="E29" s="2">
        <v>151373</v>
      </c>
      <c r="F29" t="s">
        <v>23</v>
      </c>
      <c r="G29" t="s">
        <v>17</v>
      </c>
      <c r="H29">
        <v>214103</v>
      </c>
      <c r="I29" s="2">
        <v>62730</v>
      </c>
      <c r="J29" t="str">
        <f>TEXT(Table2[[#This Row],[Date]],"mmm")</f>
        <v>Jun</v>
      </c>
    </row>
    <row r="30" spans="1:10" x14ac:dyDescent="0.3">
      <c r="A30" t="s">
        <v>55</v>
      </c>
      <c r="B30" s="1">
        <v>45889</v>
      </c>
      <c r="C30" t="s">
        <v>26</v>
      </c>
      <c r="D30" t="s">
        <v>20</v>
      </c>
      <c r="E30" s="2">
        <v>245828</v>
      </c>
      <c r="F30" t="s">
        <v>12</v>
      </c>
      <c r="G30" t="s">
        <v>13</v>
      </c>
      <c r="H30">
        <v>391507</v>
      </c>
      <c r="I30" s="2">
        <v>145679</v>
      </c>
      <c r="J30" t="str">
        <f>TEXT(Table2[[#This Row],[Date]],"mmm")</f>
        <v>Aug</v>
      </c>
    </row>
    <row r="31" spans="1:10" x14ac:dyDescent="0.3">
      <c r="A31" t="s">
        <v>56</v>
      </c>
      <c r="B31" s="1">
        <v>45959</v>
      </c>
      <c r="C31" t="s">
        <v>50</v>
      </c>
      <c r="D31" t="s">
        <v>20</v>
      </c>
      <c r="E31" s="2">
        <v>98627</v>
      </c>
      <c r="F31" t="s">
        <v>12</v>
      </c>
      <c r="G31" t="s">
        <v>13</v>
      </c>
      <c r="H31">
        <v>114141</v>
      </c>
      <c r="I31" s="2">
        <v>15514</v>
      </c>
      <c r="J31" t="str">
        <f>TEXT(Table2[[#This Row],[Date]],"mmm")</f>
        <v>Oct</v>
      </c>
    </row>
    <row r="32" spans="1:10" x14ac:dyDescent="0.3">
      <c r="A32" t="s">
        <v>57</v>
      </c>
      <c r="B32" s="1">
        <v>45775</v>
      </c>
      <c r="C32" t="s">
        <v>26</v>
      </c>
      <c r="D32" t="s">
        <v>30</v>
      </c>
      <c r="E32" s="2">
        <v>28610</v>
      </c>
      <c r="F32" t="s">
        <v>23</v>
      </c>
      <c r="G32" t="s">
        <v>13</v>
      </c>
      <c r="H32">
        <v>54043</v>
      </c>
      <c r="I32" s="2">
        <v>25433</v>
      </c>
      <c r="J32" t="str">
        <f>TEXT(Table2[[#This Row],[Date]],"mmm")</f>
        <v>Apr</v>
      </c>
    </row>
    <row r="33" spans="1:10" x14ac:dyDescent="0.3">
      <c r="A33" t="s">
        <v>58</v>
      </c>
      <c r="B33" s="1">
        <v>45800</v>
      </c>
      <c r="C33" t="s">
        <v>10</v>
      </c>
      <c r="D33" t="s">
        <v>27</v>
      </c>
      <c r="E33" s="2">
        <v>144782</v>
      </c>
      <c r="F33" t="s">
        <v>12</v>
      </c>
      <c r="G33" t="s">
        <v>13</v>
      </c>
      <c r="H33">
        <v>217173</v>
      </c>
      <c r="I33" s="2">
        <v>72391</v>
      </c>
      <c r="J33" t="str">
        <f>TEXT(Table2[[#This Row],[Date]],"mmm")</f>
        <v>May</v>
      </c>
    </row>
    <row r="34" spans="1:10" x14ac:dyDescent="0.3">
      <c r="A34" t="s">
        <v>59</v>
      </c>
      <c r="B34" s="1">
        <v>45782</v>
      </c>
      <c r="C34" t="s">
        <v>22</v>
      </c>
      <c r="D34" t="s">
        <v>27</v>
      </c>
      <c r="E34" s="2">
        <v>199622</v>
      </c>
      <c r="F34" t="s">
        <v>12</v>
      </c>
      <c r="G34" t="s">
        <v>13</v>
      </c>
      <c r="H34">
        <v>333529</v>
      </c>
      <c r="I34" s="2">
        <v>133907</v>
      </c>
      <c r="J34" t="str">
        <f>TEXT(Table2[[#This Row],[Date]],"mmm")</f>
        <v>May</v>
      </c>
    </row>
    <row r="35" spans="1:10" x14ac:dyDescent="0.3">
      <c r="A35" t="s">
        <v>60</v>
      </c>
      <c r="B35" s="1">
        <v>45839</v>
      </c>
      <c r="C35" t="s">
        <v>22</v>
      </c>
      <c r="D35" t="s">
        <v>27</v>
      </c>
      <c r="E35" s="2">
        <v>35409</v>
      </c>
      <c r="F35" t="s">
        <v>31</v>
      </c>
      <c r="G35" t="s">
        <v>13</v>
      </c>
      <c r="H35">
        <v>158406</v>
      </c>
      <c r="I35" s="2">
        <v>122997</v>
      </c>
      <c r="J35" t="str">
        <f>TEXT(Table2[[#This Row],[Date]],"mmm")</f>
        <v>Jul</v>
      </c>
    </row>
    <row r="36" spans="1:10" x14ac:dyDescent="0.3">
      <c r="A36" t="s">
        <v>61</v>
      </c>
      <c r="B36" s="1">
        <v>45689</v>
      </c>
      <c r="C36" t="s">
        <v>22</v>
      </c>
      <c r="D36" t="s">
        <v>33</v>
      </c>
      <c r="E36" s="2">
        <v>186518</v>
      </c>
      <c r="F36" t="s">
        <v>23</v>
      </c>
      <c r="G36" t="s">
        <v>13</v>
      </c>
      <c r="H36">
        <v>222317</v>
      </c>
      <c r="I36" s="2">
        <v>35799</v>
      </c>
      <c r="J36" t="str">
        <f>TEXT(Table2[[#This Row],[Date]],"mmm")</f>
        <v>Feb</v>
      </c>
    </row>
    <row r="37" spans="1:10" x14ac:dyDescent="0.3">
      <c r="A37" t="s">
        <v>62</v>
      </c>
      <c r="B37" s="1">
        <v>45755</v>
      </c>
      <c r="C37" t="s">
        <v>50</v>
      </c>
      <c r="D37" t="s">
        <v>27</v>
      </c>
      <c r="E37" s="2">
        <v>75183</v>
      </c>
      <c r="F37" t="s">
        <v>12</v>
      </c>
      <c r="G37" t="s">
        <v>17</v>
      </c>
      <c r="H37">
        <v>135407</v>
      </c>
      <c r="I37" s="2">
        <v>60224</v>
      </c>
      <c r="J37" t="str">
        <f>TEXT(Table2[[#This Row],[Date]],"mmm")</f>
        <v>Apr</v>
      </c>
    </row>
    <row r="38" spans="1:10" x14ac:dyDescent="0.3">
      <c r="A38" t="s">
        <v>63</v>
      </c>
      <c r="B38" s="1">
        <v>45894</v>
      </c>
      <c r="C38" t="s">
        <v>19</v>
      </c>
      <c r="D38" t="s">
        <v>30</v>
      </c>
      <c r="E38" s="2">
        <v>58100</v>
      </c>
      <c r="F38" t="s">
        <v>31</v>
      </c>
      <c r="G38" t="s">
        <v>13</v>
      </c>
      <c r="H38">
        <v>141118</v>
      </c>
      <c r="I38" s="2">
        <v>83018</v>
      </c>
      <c r="J38" t="str">
        <f>TEXT(Table2[[#This Row],[Date]],"mmm")</f>
        <v>Aug</v>
      </c>
    </row>
    <row r="39" spans="1:10" x14ac:dyDescent="0.3">
      <c r="A39" t="s">
        <v>64</v>
      </c>
      <c r="B39" s="1">
        <v>45705</v>
      </c>
      <c r="C39" t="s">
        <v>19</v>
      </c>
      <c r="D39" t="s">
        <v>20</v>
      </c>
      <c r="E39" s="2">
        <v>23261</v>
      </c>
      <c r="F39" t="s">
        <v>31</v>
      </c>
      <c r="G39" t="s">
        <v>17</v>
      </c>
      <c r="H39">
        <v>37129</v>
      </c>
      <c r="I39" s="2">
        <v>13868</v>
      </c>
      <c r="J39" t="str">
        <f>TEXT(Table2[[#This Row],[Date]],"mmm")</f>
        <v>Feb</v>
      </c>
    </row>
    <row r="40" spans="1:10" x14ac:dyDescent="0.3">
      <c r="A40" t="s">
        <v>65</v>
      </c>
      <c r="B40" s="1">
        <v>45863</v>
      </c>
      <c r="C40" t="s">
        <v>26</v>
      </c>
      <c r="D40" t="s">
        <v>20</v>
      </c>
      <c r="E40" s="2">
        <v>136185</v>
      </c>
      <c r="F40" t="s">
        <v>31</v>
      </c>
      <c r="G40" t="s">
        <v>13</v>
      </c>
      <c r="H40">
        <v>202217</v>
      </c>
      <c r="I40" s="2">
        <v>66032</v>
      </c>
      <c r="J40" t="str">
        <f>TEXT(Table2[[#This Row],[Date]],"mmm")</f>
        <v>Jul</v>
      </c>
    </row>
    <row r="41" spans="1:10" x14ac:dyDescent="0.3">
      <c r="A41" t="s">
        <v>66</v>
      </c>
      <c r="B41" s="1">
        <v>45890</v>
      </c>
      <c r="C41" t="s">
        <v>29</v>
      </c>
      <c r="D41" t="s">
        <v>27</v>
      </c>
      <c r="E41" s="2">
        <v>112346</v>
      </c>
      <c r="F41" t="s">
        <v>31</v>
      </c>
      <c r="G41" t="s">
        <v>13</v>
      </c>
      <c r="H41">
        <v>191867</v>
      </c>
      <c r="I41" s="2">
        <v>79521</v>
      </c>
      <c r="J41" t="str">
        <f>TEXT(Table2[[#This Row],[Date]],"mmm")</f>
        <v>Aug</v>
      </c>
    </row>
    <row r="42" spans="1:10" x14ac:dyDescent="0.3">
      <c r="A42" t="s">
        <v>67</v>
      </c>
      <c r="B42" s="1">
        <v>45769</v>
      </c>
      <c r="C42" t="s">
        <v>26</v>
      </c>
      <c r="D42" t="s">
        <v>15</v>
      </c>
      <c r="E42" s="2">
        <v>59780</v>
      </c>
      <c r="F42" t="s">
        <v>16</v>
      </c>
      <c r="G42" t="s">
        <v>17</v>
      </c>
      <c r="H42">
        <v>147560</v>
      </c>
      <c r="I42" s="2">
        <v>87780</v>
      </c>
      <c r="J42" t="str">
        <f>TEXT(Table2[[#This Row],[Date]],"mmm")</f>
        <v>Apr</v>
      </c>
    </row>
    <row r="43" spans="1:10" x14ac:dyDescent="0.3">
      <c r="A43" t="s">
        <v>68</v>
      </c>
      <c r="B43" s="1">
        <v>45957</v>
      </c>
      <c r="C43" t="s">
        <v>22</v>
      </c>
      <c r="D43" t="s">
        <v>15</v>
      </c>
      <c r="E43" s="2">
        <v>24985</v>
      </c>
      <c r="F43" t="s">
        <v>12</v>
      </c>
      <c r="G43" t="s">
        <v>13</v>
      </c>
      <c r="H43">
        <v>48129</v>
      </c>
      <c r="I43" s="2">
        <v>23144</v>
      </c>
      <c r="J43" t="str">
        <f>TEXT(Table2[[#This Row],[Date]],"mmm")</f>
        <v>Oct</v>
      </c>
    </row>
    <row r="44" spans="1:10" x14ac:dyDescent="0.3">
      <c r="A44" t="s">
        <v>69</v>
      </c>
      <c r="B44" s="1">
        <v>45753</v>
      </c>
      <c r="C44" t="s">
        <v>26</v>
      </c>
      <c r="D44" t="s">
        <v>15</v>
      </c>
      <c r="E44" s="2">
        <v>143124</v>
      </c>
      <c r="F44" t="s">
        <v>16</v>
      </c>
      <c r="G44" t="s">
        <v>13</v>
      </c>
      <c r="H44">
        <v>174124</v>
      </c>
      <c r="I44" s="2">
        <v>31000</v>
      </c>
      <c r="J44" t="str">
        <f>TEXT(Table2[[#This Row],[Date]],"mmm")</f>
        <v>Apr</v>
      </c>
    </row>
    <row r="45" spans="1:10" x14ac:dyDescent="0.3">
      <c r="A45" t="s">
        <v>70</v>
      </c>
      <c r="B45" s="1">
        <v>45949</v>
      </c>
      <c r="C45" t="s">
        <v>19</v>
      </c>
      <c r="D45" t="s">
        <v>15</v>
      </c>
      <c r="E45" s="2">
        <v>115847</v>
      </c>
      <c r="F45" t="s">
        <v>16</v>
      </c>
      <c r="G45" t="s">
        <v>13</v>
      </c>
      <c r="H45">
        <v>157274</v>
      </c>
      <c r="I45" s="2">
        <v>41427</v>
      </c>
      <c r="J45" t="str">
        <f>TEXT(Table2[[#This Row],[Date]],"mmm")</f>
        <v>Oct</v>
      </c>
    </row>
    <row r="46" spans="1:10" x14ac:dyDescent="0.3">
      <c r="A46" t="s">
        <v>71</v>
      </c>
      <c r="B46" s="1">
        <v>45819</v>
      </c>
      <c r="C46" t="s">
        <v>29</v>
      </c>
      <c r="D46" t="s">
        <v>20</v>
      </c>
      <c r="E46" s="2">
        <v>119897</v>
      </c>
      <c r="F46" t="s">
        <v>23</v>
      </c>
      <c r="G46" t="s">
        <v>13</v>
      </c>
      <c r="H46">
        <v>266941</v>
      </c>
      <c r="I46" s="2">
        <v>147044</v>
      </c>
      <c r="J46" t="str">
        <f>TEXT(Table2[[#This Row],[Date]],"mmm")</f>
        <v>Jun</v>
      </c>
    </row>
    <row r="47" spans="1:10" x14ac:dyDescent="0.3">
      <c r="A47" t="s">
        <v>72</v>
      </c>
      <c r="B47" s="1">
        <v>45725</v>
      </c>
      <c r="C47" t="s">
        <v>10</v>
      </c>
      <c r="D47" t="s">
        <v>33</v>
      </c>
      <c r="E47" s="2">
        <v>79629</v>
      </c>
      <c r="F47" t="s">
        <v>23</v>
      </c>
      <c r="G47" t="s">
        <v>17</v>
      </c>
      <c r="H47">
        <v>193381</v>
      </c>
      <c r="I47" s="2">
        <v>113752</v>
      </c>
      <c r="J47" t="str">
        <f>TEXT(Table2[[#This Row],[Date]],"mmm")</f>
        <v>Mar</v>
      </c>
    </row>
    <row r="48" spans="1:10" x14ac:dyDescent="0.3">
      <c r="A48" t="s">
        <v>73</v>
      </c>
      <c r="B48" s="1">
        <v>45662</v>
      </c>
      <c r="C48" t="s">
        <v>22</v>
      </c>
      <c r="D48" t="s">
        <v>15</v>
      </c>
      <c r="E48" s="2">
        <v>92883</v>
      </c>
      <c r="F48" t="s">
        <v>16</v>
      </c>
      <c r="G48" t="s">
        <v>13</v>
      </c>
      <c r="H48">
        <v>121899</v>
      </c>
      <c r="I48" s="2">
        <v>29016</v>
      </c>
      <c r="J48" t="str">
        <f>TEXT(Table2[[#This Row],[Date]],"mmm")</f>
        <v>Jan</v>
      </c>
    </row>
    <row r="49" spans="1:10" x14ac:dyDescent="0.3">
      <c r="A49" t="s">
        <v>74</v>
      </c>
      <c r="B49" s="1">
        <v>45917</v>
      </c>
      <c r="C49" t="s">
        <v>29</v>
      </c>
      <c r="D49" t="s">
        <v>20</v>
      </c>
      <c r="E49" s="2">
        <v>150937</v>
      </c>
      <c r="F49" t="s">
        <v>23</v>
      </c>
      <c r="G49" t="s">
        <v>13</v>
      </c>
      <c r="H49">
        <v>216814</v>
      </c>
      <c r="I49" s="2">
        <v>65877</v>
      </c>
      <c r="J49" t="str">
        <f>TEXT(Table2[[#This Row],[Date]],"mmm")</f>
        <v>Sep</v>
      </c>
    </row>
    <row r="50" spans="1:10" x14ac:dyDescent="0.3">
      <c r="A50" t="s">
        <v>75</v>
      </c>
      <c r="B50" s="1">
        <v>45847</v>
      </c>
      <c r="C50" t="s">
        <v>29</v>
      </c>
      <c r="D50" t="s">
        <v>20</v>
      </c>
      <c r="E50" s="2">
        <v>240495</v>
      </c>
      <c r="F50" t="s">
        <v>31</v>
      </c>
      <c r="G50" t="s">
        <v>17</v>
      </c>
      <c r="H50">
        <v>314532</v>
      </c>
      <c r="I50" s="2">
        <v>74037</v>
      </c>
      <c r="J50" t="str">
        <f>TEXT(Table2[[#This Row],[Date]],"mmm")</f>
        <v>Jul</v>
      </c>
    </row>
    <row r="51" spans="1:10" x14ac:dyDescent="0.3">
      <c r="A51" t="s">
        <v>76</v>
      </c>
      <c r="B51" s="1">
        <v>45662</v>
      </c>
      <c r="C51" t="s">
        <v>10</v>
      </c>
      <c r="D51" t="s">
        <v>15</v>
      </c>
      <c r="E51" s="2">
        <v>170347</v>
      </c>
      <c r="F51" t="s">
        <v>23</v>
      </c>
      <c r="G51" t="s">
        <v>13</v>
      </c>
      <c r="H51">
        <v>319005</v>
      </c>
      <c r="I51" s="2">
        <v>148658</v>
      </c>
      <c r="J51" t="str">
        <f>TEXT(Table2[[#This Row],[Date]],"mmm")</f>
        <v>Jan</v>
      </c>
    </row>
    <row r="52" spans="1:10" x14ac:dyDescent="0.3">
      <c r="A52" t="s">
        <v>77</v>
      </c>
      <c r="B52" s="1">
        <v>45793</v>
      </c>
      <c r="C52" t="s">
        <v>26</v>
      </c>
      <c r="D52" t="s">
        <v>30</v>
      </c>
      <c r="E52" s="2">
        <v>240195</v>
      </c>
      <c r="F52" t="s">
        <v>12</v>
      </c>
      <c r="G52" t="s">
        <v>17</v>
      </c>
      <c r="H52">
        <v>285398</v>
      </c>
      <c r="I52" s="2">
        <v>45203</v>
      </c>
      <c r="J52" t="str">
        <f>TEXT(Table2[[#This Row],[Date]],"mmm")</f>
        <v>May</v>
      </c>
    </row>
    <row r="53" spans="1:10" x14ac:dyDescent="0.3">
      <c r="A53" t="s">
        <v>78</v>
      </c>
      <c r="B53" s="1">
        <v>45833</v>
      </c>
      <c r="C53" t="s">
        <v>19</v>
      </c>
      <c r="D53" t="s">
        <v>33</v>
      </c>
      <c r="E53" s="2">
        <v>83860</v>
      </c>
      <c r="F53" t="s">
        <v>23</v>
      </c>
      <c r="G53" t="s">
        <v>17</v>
      </c>
      <c r="H53">
        <v>149075</v>
      </c>
      <c r="I53" s="2">
        <v>65215</v>
      </c>
      <c r="J53" t="str">
        <f>TEXT(Table2[[#This Row],[Date]],"mmm")</f>
        <v>Jun</v>
      </c>
    </row>
    <row r="54" spans="1:10" x14ac:dyDescent="0.3">
      <c r="A54" t="s">
        <v>79</v>
      </c>
      <c r="B54" s="1">
        <v>45705</v>
      </c>
      <c r="C54" t="s">
        <v>10</v>
      </c>
      <c r="D54" t="s">
        <v>27</v>
      </c>
      <c r="E54" s="2">
        <v>75829</v>
      </c>
      <c r="F54" t="s">
        <v>23</v>
      </c>
      <c r="G54" t="s">
        <v>13</v>
      </c>
      <c r="H54">
        <v>99145</v>
      </c>
      <c r="I54" s="2">
        <v>23316</v>
      </c>
      <c r="J54" t="str">
        <f>TEXT(Table2[[#This Row],[Date]],"mmm")</f>
        <v>Feb</v>
      </c>
    </row>
    <row r="55" spans="1:10" x14ac:dyDescent="0.3">
      <c r="A55" t="s">
        <v>80</v>
      </c>
      <c r="B55" s="1">
        <v>45724</v>
      </c>
      <c r="C55" t="s">
        <v>10</v>
      </c>
      <c r="D55" t="s">
        <v>11</v>
      </c>
      <c r="E55" s="2">
        <v>10929</v>
      </c>
      <c r="F55" t="s">
        <v>12</v>
      </c>
      <c r="G55" t="s">
        <v>17</v>
      </c>
      <c r="H55">
        <v>108368</v>
      </c>
      <c r="I55" s="2">
        <v>97439</v>
      </c>
      <c r="J55" t="str">
        <f>TEXT(Table2[[#This Row],[Date]],"mmm")</f>
        <v>Mar</v>
      </c>
    </row>
    <row r="56" spans="1:10" x14ac:dyDescent="0.3">
      <c r="A56" t="s">
        <v>81</v>
      </c>
      <c r="B56" s="1">
        <v>45945</v>
      </c>
      <c r="C56" t="s">
        <v>26</v>
      </c>
      <c r="D56" t="s">
        <v>30</v>
      </c>
      <c r="E56" s="2">
        <v>154619</v>
      </c>
      <c r="F56" t="s">
        <v>16</v>
      </c>
      <c r="G56" t="s">
        <v>13</v>
      </c>
      <c r="H56">
        <v>276734</v>
      </c>
      <c r="I56" s="2">
        <v>122115</v>
      </c>
      <c r="J56" t="str">
        <f>TEXT(Table2[[#This Row],[Date]],"mmm")</f>
        <v>Oct</v>
      </c>
    </row>
    <row r="57" spans="1:10" x14ac:dyDescent="0.3">
      <c r="A57" t="s">
        <v>82</v>
      </c>
      <c r="B57" s="1">
        <v>45847</v>
      </c>
      <c r="C57" t="s">
        <v>50</v>
      </c>
      <c r="D57" t="s">
        <v>15</v>
      </c>
      <c r="E57" s="2">
        <v>153023</v>
      </c>
      <c r="F57" t="s">
        <v>12</v>
      </c>
      <c r="G57" t="s">
        <v>17</v>
      </c>
      <c r="H57">
        <v>172467</v>
      </c>
      <c r="I57" s="2">
        <v>19444</v>
      </c>
      <c r="J57" t="str">
        <f>TEXT(Table2[[#This Row],[Date]],"mmm")</f>
        <v>Jul</v>
      </c>
    </row>
    <row r="58" spans="1:10" x14ac:dyDescent="0.3">
      <c r="A58" t="s">
        <v>83</v>
      </c>
      <c r="B58" s="1">
        <v>45815</v>
      </c>
      <c r="C58" t="s">
        <v>29</v>
      </c>
      <c r="D58" t="s">
        <v>30</v>
      </c>
      <c r="E58" s="2">
        <v>43409</v>
      </c>
      <c r="F58" t="s">
        <v>23</v>
      </c>
      <c r="G58" t="s">
        <v>13</v>
      </c>
      <c r="H58">
        <v>64374</v>
      </c>
      <c r="I58" s="2">
        <v>20965</v>
      </c>
      <c r="J58" t="str">
        <f>TEXT(Table2[[#This Row],[Date]],"mmm")</f>
        <v>Jun</v>
      </c>
    </row>
    <row r="59" spans="1:10" x14ac:dyDescent="0.3">
      <c r="A59" t="s">
        <v>84</v>
      </c>
      <c r="B59" s="1">
        <v>45999</v>
      </c>
      <c r="C59" t="s">
        <v>26</v>
      </c>
      <c r="D59" t="s">
        <v>11</v>
      </c>
      <c r="E59" s="2">
        <v>188799</v>
      </c>
      <c r="F59" t="s">
        <v>31</v>
      </c>
      <c r="G59" t="s">
        <v>13</v>
      </c>
      <c r="H59">
        <v>264211</v>
      </c>
      <c r="I59" s="2">
        <v>75412</v>
      </c>
      <c r="J59" t="str">
        <f>TEXT(Table2[[#This Row],[Date]],"mmm")</f>
        <v>Dec</v>
      </c>
    </row>
    <row r="60" spans="1:10" x14ac:dyDescent="0.3">
      <c r="A60" t="s">
        <v>85</v>
      </c>
      <c r="B60" s="1">
        <v>45748</v>
      </c>
      <c r="C60" t="s">
        <v>22</v>
      </c>
      <c r="D60" t="s">
        <v>30</v>
      </c>
      <c r="E60" s="2">
        <v>72059</v>
      </c>
      <c r="F60" t="s">
        <v>12</v>
      </c>
      <c r="G60" t="s">
        <v>17</v>
      </c>
      <c r="H60">
        <v>124657</v>
      </c>
      <c r="I60" s="2">
        <v>52598</v>
      </c>
      <c r="J60" t="str">
        <f>TEXT(Table2[[#This Row],[Date]],"mmm")</f>
        <v>Apr</v>
      </c>
    </row>
    <row r="61" spans="1:10" x14ac:dyDescent="0.3">
      <c r="A61" t="s">
        <v>86</v>
      </c>
      <c r="B61" s="1">
        <v>46000</v>
      </c>
      <c r="C61" t="s">
        <v>10</v>
      </c>
      <c r="D61" t="s">
        <v>20</v>
      </c>
      <c r="E61" s="2">
        <v>215097</v>
      </c>
      <c r="F61" t="s">
        <v>23</v>
      </c>
      <c r="G61" t="s">
        <v>13</v>
      </c>
      <c r="H61">
        <v>333025</v>
      </c>
      <c r="I61" s="2">
        <v>117928</v>
      </c>
      <c r="J61" t="str">
        <f>TEXT(Table2[[#This Row],[Date]],"mmm")</f>
        <v>Dec</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8"/>
  <sheetViews>
    <sheetView workbookViewId="0">
      <selection activeCell="E3" sqref="E3"/>
    </sheetView>
  </sheetViews>
  <sheetFormatPr defaultRowHeight="14.4" x14ac:dyDescent="0.3"/>
  <cols>
    <col min="1" max="1" width="13.33203125" customWidth="1"/>
    <col min="2" max="2" width="11.6640625" customWidth="1"/>
    <col min="3" max="3" width="22.109375" bestFit="1" customWidth="1"/>
    <col min="4" max="4" width="13.109375" customWidth="1"/>
    <col min="5" max="5" width="19.33203125" bestFit="1" customWidth="1"/>
    <col min="7" max="7" width="10.77734375" customWidth="1"/>
    <col min="8" max="8" width="19.33203125" bestFit="1" customWidth="1"/>
    <col min="10" max="10" width="19.33203125" customWidth="1"/>
    <col min="11" max="11" width="22.109375" customWidth="1"/>
    <col min="12" max="12" width="23.109375" customWidth="1"/>
    <col min="13" max="13" width="18.109375" customWidth="1"/>
  </cols>
  <sheetData>
    <row r="2" spans="1:13" x14ac:dyDescent="0.3">
      <c r="A2" s="3" t="s">
        <v>2</v>
      </c>
      <c r="B2" t="s">
        <v>89</v>
      </c>
      <c r="D2" s="3" t="s">
        <v>3</v>
      </c>
      <c r="E2" t="s">
        <v>89</v>
      </c>
      <c r="G2" s="3" t="s">
        <v>87</v>
      </c>
      <c r="H2" t="s">
        <v>89</v>
      </c>
      <c r="J2" s="3" t="s">
        <v>6</v>
      </c>
      <c r="K2" t="s">
        <v>89</v>
      </c>
      <c r="L2" t="s">
        <v>102</v>
      </c>
    </row>
    <row r="3" spans="1:13" x14ac:dyDescent="0.3">
      <c r="A3" s="4" t="s">
        <v>26</v>
      </c>
      <c r="B3" s="2">
        <v>2004442</v>
      </c>
      <c r="D3" s="4" t="s">
        <v>20</v>
      </c>
      <c r="E3" s="2">
        <v>1989840</v>
      </c>
      <c r="G3" s="4" t="s">
        <v>90</v>
      </c>
      <c r="H3" s="2">
        <v>786944</v>
      </c>
      <c r="J3" s="4" t="s">
        <v>17</v>
      </c>
      <c r="K3" s="2">
        <v>2809314</v>
      </c>
      <c r="L3" s="5">
        <v>24</v>
      </c>
    </row>
    <row r="4" spans="1:13" x14ac:dyDescent="0.3">
      <c r="A4" s="4" t="s">
        <v>22</v>
      </c>
      <c r="B4" s="2">
        <v>1609506</v>
      </c>
      <c r="D4" s="4" t="s">
        <v>11</v>
      </c>
      <c r="E4" s="2">
        <v>1435998</v>
      </c>
      <c r="G4" s="4" t="s">
        <v>91</v>
      </c>
      <c r="H4" s="2">
        <v>992103</v>
      </c>
      <c r="J4" s="4" t="s">
        <v>13</v>
      </c>
      <c r="K4" s="2">
        <v>4857978</v>
      </c>
      <c r="L4" s="5">
        <v>36</v>
      </c>
    </row>
    <row r="5" spans="1:13" x14ac:dyDescent="0.3">
      <c r="A5" s="4" t="s">
        <v>10</v>
      </c>
      <c r="B5" s="2">
        <v>1422013</v>
      </c>
      <c r="D5" s="4" t="s">
        <v>15</v>
      </c>
      <c r="E5" s="2">
        <v>1278716</v>
      </c>
      <c r="G5" s="4" t="s">
        <v>92</v>
      </c>
      <c r="H5" s="2">
        <v>204270</v>
      </c>
      <c r="J5" s="4" t="s">
        <v>88</v>
      </c>
      <c r="K5" s="2">
        <v>7667292</v>
      </c>
      <c r="L5" s="5">
        <v>60</v>
      </c>
    </row>
    <row r="6" spans="1:13" x14ac:dyDescent="0.3">
      <c r="A6" s="4" t="s">
        <v>29</v>
      </c>
      <c r="B6" s="2">
        <v>1333674</v>
      </c>
      <c r="D6" s="4" t="s">
        <v>27</v>
      </c>
      <c r="E6" s="2">
        <v>1138735</v>
      </c>
      <c r="G6" s="4" t="s">
        <v>93</v>
      </c>
      <c r="H6" s="2">
        <v>807404</v>
      </c>
    </row>
    <row r="7" spans="1:13" x14ac:dyDescent="0.3">
      <c r="A7" s="4" t="s">
        <v>50</v>
      </c>
      <c r="B7" s="2">
        <v>664807</v>
      </c>
      <c r="D7" s="4" t="s">
        <v>30</v>
      </c>
      <c r="E7" s="2">
        <v>1012051</v>
      </c>
      <c r="G7" s="4" t="s">
        <v>94</v>
      </c>
      <c r="H7" s="2">
        <v>738726</v>
      </c>
    </row>
    <row r="8" spans="1:13" x14ac:dyDescent="0.3">
      <c r="A8" s="4" t="s">
        <v>19</v>
      </c>
      <c r="B8" s="2">
        <v>632850</v>
      </c>
      <c r="D8" s="4" t="s">
        <v>33</v>
      </c>
      <c r="E8" s="2">
        <v>811952</v>
      </c>
      <c r="G8" s="4" t="s">
        <v>95</v>
      </c>
      <c r="H8" s="2">
        <v>437864</v>
      </c>
      <c r="J8" t="s">
        <v>89</v>
      </c>
      <c r="K8" t="s">
        <v>103</v>
      </c>
      <c r="L8" t="s">
        <v>104</v>
      </c>
      <c r="M8" t="s">
        <v>102</v>
      </c>
    </row>
    <row r="9" spans="1:13" x14ac:dyDescent="0.3">
      <c r="A9" s="4" t="s">
        <v>88</v>
      </c>
      <c r="B9" s="2">
        <v>7667292</v>
      </c>
      <c r="D9" s="4" t="s">
        <v>88</v>
      </c>
      <c r="E9" s="2">
        <v>7667292</v>
      </c>
      <c r="G9" s="4" t="s">
        <v>96</v>
      </c>
      <c r="H9" s="2">
        <v>617750</v>
      </c>
      <c r="J9" s="2">
        <v>7667292</v>
      </c>
      <c r="K9" s="2">
        <v>12267123</v>
      </c>
      <c r="L9" s="2">
        <v>4599831</v>
      </c>
      <c r="M9" s="5">
        <v>60</v>
      </c>
    </row>
    <row r="10" spans="1:13" x14ac:dyDescent="0.3">
      <c r="G10" s="4" t="s">
        <v>97</v>
      </c>
      <c r="H10" s="2">
        <v>416274</v>
      </c>
    </row>
    <row r="11" spans="1:13" x14ac:dyDescent="0.3">
      <c r="G11" s="4" t="s">
        <v>98</v>
      </c>
      <c r="H11" s="2">
        <v>161787</v>
      </c>
    </row>
    <row r="12" spans="1:13" x14ac:dyDescent="0.3">
      <c r="G12" s="4" t="s">
        <v>99</v>
      </c>
      <c r="H12" s="2">
        <v>1054867</v>
      </c>
      <c r="J12" s="3" t="s">
        <v>6</v>
      </c>
      <c r="K12" t="s">
        <v>89</v>
      </c>
    </row>
    <row r="13" spans="1:13" x14ac:dyDescent="0.3">
      <c r="A13" s="3" t="s">
        <v>5</v>
      </c>
      <c r="B13" t="s">
        <v>89</v>
      </c>
      <c r="G13" s="4" t="s">
        <v>100</v>
      </c>
      <c r="H13" s="2">
        <v>789912</v>
      </c>
      <c r="J13" s="4" t="s">
        <v>17</v>
      </c>
      <c r="K13" s="2">
        <v>2809314</v>
      </c>
    </row>
    <row r="14" spans="1:13" x14ac:dyDescent="0.3">
      <c r="A14" s="4" t="s">
        <v>12</v>
      </c>
      <c r="B14" s="2">
        <v>2495722</v>
      </c>
      <c r="G14" s="4" t="s">
        <v>101</v>
      </c>
      <c r="H14" s="2">
        <v>659391</v>
      </c>
      <c r="J14" s="4" t="s">
        <v>13</v>
      </c>
      <c r="K14" s="2">
        <v>4857978</v>
      </c>
    </row>
    <row r="15" spans="1:13" x14ac:dyDescent="0.3">
      <c r="A15" s="4" t="s">
        <v>23</v>
      </c>
      <c r="B15" s="2">
        <v>2299327</v>
      </c>
      <c r="G15" s="4" t="s">
        <v>88</v>
      </c>
      <c r="H15" s="2">
        <v>7667292</v>
      </c>
      <c r="J15" s="4" t="s">
        <v>88</v>
      </c>
      <c r="K15" s="2">
        <v>7667292</v>
      </c>
    </row>
    <row r="16" spans="1:13" x14ac:dyDescent="0.3">
      <c r="A16" s="4" t="s">
        <v>31</v>
      </c>
      <c r="B16" s="2">
        <v>2015083</v>
      </c>
    </row>
    <row r="17" spans="1:11" x14ac:dyDescent="0.3">
      <c r="A17" s="4" t="s">
        <v>16</v>
      </c>
      <c r="B17" s="2">
        <v>857160</v>
      </c>
    </row>
    <row r="18" spans="1:11" x14ac:dyDescent="0.3">
      <c r="A18" s="4" t="s">
        <v>88</v>
      </c>
      <c r="B18" s="2">
        <v>7667292</v>
      </c>
    </row>
    <row r="20" spans="1:11" x14ac:dyDescent="0.3">
      <c r="G20" s="8"/>
      <c r="J20" s="11" t="s">
        <v>106</v>
      </c>
      <c r="K20" s="9">
        <f>L4/60</f>
        <v>0.6</v>
      </c>
    </row>
    <row r="21" spans="1:11" x14ac:dyDescent="0.3">
      <c r="A21" s="3" t="s">
        <v>2</v>
      </c>
      <c r="B21" t="s">
        <v>105</v>
      </c>
      <c r="C21" t="s">
        <v>103</v>
      </c>
      <c r="J21" s="10" t="s">
        <v>107</v>
      </c>
      <c r="K21" s="2">
        <f>J9/M9</f>
        <v>127788.2</v>
      </c>
    </row>
    <row r="22" spans="1:11" x14ac:dyDescent="0.3">
      <c r="A22" s="4" t="s">
        <v>26</v>
      </c>
      <c r="B22" s="2">
        <v>2004442</v>
      </c>
      <c r="C22" s="2">
        <v>3061939</v>
      </c>
    </row>
    <row r="23" spans="1:11" x14ac:dyDescent="0.3">
      <c r="A23" s="4" t="s">
        <v>22</v>
      </c>
      <c r="B23" s="2">
        <v>1609506</v>
      </c>
      <c r="C23" s="2">
        <v>2434859</v>
      </c>
    </row>
    <row r="24" spans="1:11" x14ac:dyDescent="0.3">
      <c r="A24" s="4" t="s">
        <v>10</v>
      </c>
      <c r="B24" s="2">
        <v>1422013</v>
      </c>
      <c r="C24" s="2">
        <v>2300716</v>
      </c>
    </row>
    <row r="25" spans="1:11" x14ac:dyDescent="0.3">
      <c r="A25" s="4" t="s">
        <v>29</v>
      </c>
      <c r="B25" s="2">
        <v>1333674</v>
      </c>
      <c r="C25" s="2">
        <v>2081398</v>
      </c>
    </row>
    <row r="26" spans="1:11" x14ac:dyDescent="0.3">
      <c r="A26" s="4" t="s">
        <v>50</v>
      </c>
      <c r="B26" s="2">
        <v>664807</v>
      </c>
      <c r="C26" s="2">
        <v>1099704</v>
      </c>
    </row>
    <row r="27" spans="1:11" x14ac:dyDescent="0.3">
      <c r="A27" s="4" t="s">
        <v>19</v>
      </c>
      <c r="B27" s="2">
        <v>632850</v>
      </c>
      <c r="C27" s="2">
        <v>1288507</v>
      </c>
    </row>
    <row r="28" spans="1:11" x14ac:dyDescent="0.3">
      <c r="A28" s="4" t="s">
        <v>88</v>
      </c>
      <c r="B28" s="2">
        <v>7667292</v>
      </c>
      <c r="C28" s="2">
        <v>12267123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29"/>
  <sheetViews>
    <sheetView showGridLines="0" tabSelected="1" view="pageBreakPreview" zoomScaleNormal="90" zoomScaleSheetLayoutView="100" workbookViewId="0">
      <selection activeCell="V12" sqref="V12"/>
    </sheetView>
  </sheetViews>
  <sheetFormatPr defaultRowHeight="14.4" x14ac:dyDescent="0.3"/>
  <cols>
    <col min="1" max="1" width="14" style="7" customWidth="1"/>
    <col min="2" max="7" width="8.88671875" style="7"/>
    <col min="8" max="8" width="8.88671875" style="7" customWidth="1"/>
    <col min="9" max="16384" width="8.88671875" style="7"/>
  </cols>
  <sheetData>
    <row r="1" spans="2:18" ht="18" customHeight="1" x14ac:dyDescent="0.3">
      <c r="B1" s="6"/>
      <c r="C1" s="6"/>
      <c r="D1" s="6"/>
      <c r="E1" s="6"/>
      <c r="F1" s="6"/>
      <c r="G1" s="6"/>
      <c r="H1" s="6"/>
      <c r="I1" s="6"/>
      <c r="J1" s="6"/>
      <c r="K1" s="6"/>
      <c r="L1" s="6"/>
      <c r="M1" s="6"/>
      <c r="N1" s="6"/>
      <c r="O1" s="6"/>
      <c r="P1" s="6"/>
      <c r="Q1" s="6"/>
      <c r="R1" s="6"/>
    </row>
    <row r="2" spans="2:18" ht="18" customHeight="1" x14ac:dyDescent="0.3">
      <c r="B2" s="6"/>
      <c r="C2" s="6"/>
      <c r="D2" s="6"/>
      <c r="E2" s="6"/>
      <c r="F2" s="6"/>
      <c r="G2" s="6"/>
      <c r="H2" s="6"/>
      <c r="I2" s="6"/>
      <c r="J2" s="6"/>
      <c r="K2" s="6"/>
      <c r="L2" s="6"/>
      <c r="M2" s="6"/>
      <c r="N2" s="6"/>
      <c r="O2" s="6"/>
      <c r="P2" s="6"/>
      <c r="Q2" s="6"/>
      <c r="R2" s="6"/>
    </row>
    <row r="3" spans="2:18" ht="18" customHeight="1" x14ac:dyDescent="0.3">
      <c r="B3" s="6"/>
      <c r="C3" s="6"/>
      <c r="D3" s="6"/>
      <c r="E3" s="6"/>
      <c r="F3" s="6"/>
      <c r="G3" s="6"/>
      <c r="H3" s="6"/>
      <c r="I3" s="6"/>
      <c r="J3" s="6"/>
      <c r="K3" s="6"/>
      <c r="L3" s="6"/>
      <c r="M3" s="6"/>
      <c r="N3" s="6"/>
      <c r="O3" s="6"/>
      <c r="P3" s="6"/>
      <c r="Q3" s="6"/>
      <c r="R3" s="6"/>
    </row>
    <row r="4" spans="2:18" ht="70.8" customHeight="1" x14ac:dyDescent="0.3">
      <c r="R4" s="6"/>
    </row>
    <row r="5" spans="2:18" ht="18" customHeight="1" x14ac:dyDescent="0.3">
      <c r="R5" s="6"/>
    </row>
    <row r="6" spans="2:18" ht="18" customHeight="1" x14ac:dyDescent="0.3">
      <c r="R6" s="6"/>
    </row>
    <row r="7" spans="2:18" ht="18" customHeight="1" x14ac:dyDescent="0.3">
      <c r="R7" s="6"/>
    </row>
    <row r="8" spans="2:18" ht="18" customHeight="1" x14ac:dyDescent="0.3">
      <c r="R8" s="6"/>
    </row>
    <row r="9" spans="2:18" ht="18" customHeight="1" x14ac:dyDescent="0.3">
      <c r="R9" s="6"/>
    </row>
    <row r="10" spans="2:18" ht="18" customHeight="1" x14ac:dyDescent="0.3">
      <c r="R10" s="6"/>
    </row>
    <row r="11" spans="2:18" ht="18" customHeight="1" x14ac:dyDescent="0.3"/>
    <row r="12" spans="2:18" ht="18" customHeight="1" x14ac:dyDescent="0.3"/>
    <row r="13" spans="2:18" ht="18" customHeight="1" x14ac:dyDescent="0.3"/>
    <row r="14" spans="2:18" ht="18" customHeight="1" x14ac:dyDescent="0.3"/>
    <row r="15" spans="2:18" ht="18" customHeight="1" x14ac:dyDescent="0.3"/>
    <row r="16" spans="2:18" ht="18" customHeight="1" x14ac:dyDescent="0.3"/>
    <row r="17" ht="18" customHeight="1" x14ac:dyDescent="0.3"/>
    <row r="18" ht="18" customHeight="1" x14ac:dyDescent="0.3"/>
    <row r="19" ht="18" customHeight="1" x14ac:dyDescent="0.3"/>
    <row r="20" ht="18" customHeight="1" x14ac:dyDescent="0.3"/>
    <row r="21" ht="18" customHeight="1" x14ac:dyDescent="0.3"/>
    <row r="22" ht="18" customHeight="1" x14ac:dyDescent="0.3"/>
    <row r="23" ht="18" customHeight="1" x14ac:dyDescent="0.3"/>
    <row r="24" ht="18" customHeight="1" x14ac:dyDescent="0.3"/>
    <row r="25" ht="18" customHeight="1" x14ac:dyDescent="0.3"/>
    <row r="26" ht="18" customHeight="1" x14ac:dyDescent="0.3"/>
    <row r="27" ht="18" customHeight="1" x14ac:dyDescent="0.3"/>
    <row r="28" ht="18" customHeight="1" x14ac:dyDescent="0.3"/>
    <row r="29" ht="18" customHeight="1" x14ac:dyDescent="0.3"/>
  </sheetData>
  <pageMargins left="0.25" right="0.25" top="0.75" bottom="0.75" header="0.3" footer="0.3"/>
  <pageSetup paperSize="9" scale="96"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Pivot</vt:lpstr>
      <vt:lpstr>Dashboard</vt:lpstr>
      <vt:lpstr>Dashboard!Print_Area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Rahman</cp:lastModifiedBy>
  <cp:lastPrinted>2026-06-20T13:42:40Z</cp:lastPrinted>
  <dcterms:created xsi:type="dcterms:W3CDTF">2026-06-13T06:10:48Z</dcterms:created>
  <dcterms:modified xsi:type="dcterms:W3CDTF">2026-06-20T13:42:50Z</dcterms:modified>
</cp:coreProperties>
</file>